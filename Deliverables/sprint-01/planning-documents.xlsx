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Velocity Tracking" sheetId="8" r:id="rId11"/>
    <sheet state="visible" name="Mid-Project Release plan" sheetId="9" r:id="rId12"/>
    <sheet state="visible" name="Final Project Release plan" sheetId="10" r:id="rId13"/>
    <sheet state="visible" name="Definition of Done" sheetId="11" r:id="rId14"/>
    <sheet state="visible" name="Documentation" sheetId="12" r:id="rId15"/>
    <sheet state="visible" name="Bill of Materials" sheetId="13" r:id="rId16"/>
    <sheet state="visible" name="Planning Poker" sheetId="14" r:id="rId17"/>
  </sheets>
  <definedNames/>
  <calcPr/>
</workbook>
</file>

<file path=xl/sharedStrings.xml><?xml version="1.0" encoding="utf-8"?>
<sst xmlns="http://schemas.openxmlformats.org/spreadsheetml/2006/main" count="265" uniqueCount="165">
  <si>
    <t>Project</t>
  </si>
  <si>
    <t>AIlixir Patient Journey Matcher</t>
  </si>
  <si>
    <t>Online team meeting</t>
  </si>
  <si>
    <t>https://fau.zoom-x.de/j/63814190741?pwd=IqXz0xbIrMCk01I1RENueDyarj9E34.1</t>
  </si>
  <si>
    <t>Production system (if any)</t>
  </si>
  <si>
    <t>...</t>
  </si>
  <si>
    <t>Test system (if any)</t>
  </si>
  <si>
    <t>GitHub repository</t>
  </si>
  <si>
    <t>https://github.com/amosproj/amos2026ws03-patient-journey-matcher</t>
  </si>
  <si>
    <t>GitHub feature board</t>
  </si>
  <si>
    <t>https://github.com/orgs/amosproj/projects/111</t>
  </si>
  <si>
    <t>GitHub imp-squared backlog</t>
  </si>
  <si>
    <t>https://github.com/orgs/amosproj/projects/115</t>
  </si>
  <si>
    <t>Position of T-shirt logo</t>
  </si>
  <si>
    <t>Upper Torso Right Small</t>
  </si>
  <si>
    <t>Link to logo for black T-shirt</t>
  </si>
  <si>
    <t>https://github.com/amosproj/amos2026ws03-patient-journey-matcher/blob/main/Deliverables/sprint-01/team-logo.png</t>
  </si>
  <si>
    <t>Link to logo for white T-shirt</t>
  </si>
  <si>
    <t>Additional materials</t>
  </si>
  <si>
    <t>Team mailing list</t>
  </si>
  <si>
    <t>oss-amos-proj3@lists.fau.de</t>
  </si>
  <si>
    <t>Last Name</t>
  </si>
  <si>
    <t>First Name</t>
  </si>
  <si>
    <t>GitHub User Name</t>
  </si>
  <si>
    <t>Email Address</t>
  </si>
  <si>
    <t>Richter</t>
  </si>
  <si>
    <t>Miriam</t>
  </si>
  <si>
    <t>miri-ri</t>
  </si>
  <si>
    <t>miriam.richter@campus.tu-berlin.de</t>
  </si>
  <si>
    <t>Meligy</t>
  </si>
  <si>
    <t>Ziad</t>
  </si>
  <si>
    <t>ZiadMeligy</t>
  </si>
  <si>
    <t>ziad.meligy.abdelghany@fau.de</t>
  </si>
  <si>
    <t>Tasken</t>
  </si>
  <si>
    <t>Eren</t>
  </si>
  <si>
    <t>erentasken</t>
  </si>
  <si>
    <t>eren.tasken@fau.de</t>
  </si>
  <si>
    <t>Neubauer</t>
  </si>
  <si>
    <t>Robin</t>
  </si>
  <si>
    <t>robin38n</t>
  </si>
  <si>
    <t>robin.neubauer@fau.de</t>
  </si>
  <si>
    <t>Zink</t>
  </si>
  <si>
    <t>Nina</t>
  </si>
  <si>
    <t>nizi0015</t>
  </si>
  <si>
    <t>nina-sophie.zink@fau.de</t>
  </si>
  <si>
    <t>Cekic</t>
  </si>
  <si>
    <t>Erman</t>
  </si>
  <si>
    <t>ermancekic</t>
  </si>
  <si>
    <t>erman.cekic@fau.de</t>
  </si>
  <si>
    <t>Pfahlmann</t>
  </si>
  <si>
    <t>Fabian</t>
  </si>
  <si>
    <t>Chronuak</t>
  </si>
  <si>
    <t>fabian.jannik.pfahlmann@fau.de</t>
  </si>
  <si>
    <t>Reinel</t>
  </si>
  <si>
    <t>Moritz</t>
  </si>
  <si>
    <t>moritz-reinel</t>
  </si>
  <si>
    <t>mo.ritz@fau.de</t>
  </si>
  <si>
    <t>Adas</t>
  </si>
  <si>
    <t>Munir</t>
  </si>
  <si>
    <t>Munirad7s</t>
  </si>
  <si>
    <t>munir.adas@fau.de</t>
  </si>
  <si>
    <t>Product Owner</t>
  </si>
  <si>
    <t>#</t>
  </si>
  <si>
    <t>Meeting Day</t>
  </si>
  <si>
    <t>Review</t>
  </si>
  <si>
    <t>Planning</t>
  </si>
  <si>
    <t>Software Developer</t>
  </si>
  <si>
    <t>Release Manager</t>
  </si>
  <si>
    <t>Scrum Master</t>
  </si>
  <si>
    <t>Comment</t>
  </si>
  <si>
    <t>Fabian Pfahlmann</t>
  </si>
  <si>
    <t>Everyone else</t>
  </si>
  <si>
    <t>N/A</t>
  </si>
  <si>
    <t>Moritz Reinel</t>
  </si>
  <si>
    <t>Miriam Richter</t>
  </si>
  <si>
    <t>Robin Neubauer</t>
  </si>
  <si>
    <t>Ziad Meligy</t>
  </si>
  <si>
    <t>Eren Tasken</t>
  </si>
  <si>
    <t>Build process review</t>
  </si>
  <si>
    <t>Nina Zink</t>
  </si>
  <si>
    <t>Mid-term due</t>
  </si>
  <si>
    <t>Erman cekic</t>
  </si>
  <si>
    <t>Demo day!</t>
  </si>
  <si>
    <t>Retrospective</t>
  </si>
  <si>
    <t>Product owners, software developers, and Scurm Master are set and ideally don't change over time; the critical part is the Release Manager role you need to define here</t>
  </si>
  <si>
    <t>Goals</t>
  </si>
  <si>
    <t>The team aims to meet all of the teaching team's requirements, meet all deadlines on time, and deliver a high-quality open-source MCP server that provides tangible added value for AIlixir.</t>
  </si>
  <si>
    <t>Every team member will actively expand their technical or organizational skills while fostering a supportive and psychologically safe working environment.</t>
  </si>
  <si>
    <t>Meeting norms</t>
  </si>
  <si>
    <t>Team members shall arrive on time for all scheduled meetings.</t>
  </si>
  <si>
    <t>Team members shall keep their video cameras turned on during online meetings to facilitate engaged, face-to-face collaboration.</t>
  </si>
  <si>
    <t>In case of unavoidable absence, members will inform the team on Slack and notify the team and teaching team via email as early as possible.</t>
  </si>
  <si>
    <t>Working norms</t>
  </si>
  <si>
    <t>High-quality code documentation should be provided, including graphical documentation and, for example, UML diagrams.</t>
  </si>
  <si>
    <t>For the purpose of repository hygiene, there should be separate feature branches, and at least one reviewer (depending on the number of authors or the scope of the feature) for each feature merge. Direct pushing or force-pushing to the main branch is strictly prohibited, and all pull requests require at least one peer approval and must pass CI checks.</t>
  </si>
  <si>
    <t>Team members may use AI assistance, but every author shall be capable of explaining their committed code line-by-line ("No AI slop").</t>
  </si>
  <si>
    <t>Coordination norms</t>
  </si>
  <si>
    <t>Team members shall distribute tasks fairly and transparently across the team during sprint planning.</t>
  </si>
  <si>
    <t>Team members shall continuously update the status of their work items on the GitHub Project Board to maintain visibility</t>
  </si>
  <si>
    <t>Communication norms</t>
  </si>
  <si>
    <t>Asynchronous communication will take place on Slack. Members shall communicate their availability during the sprint in advance.</t>
  </si>
  <si>
    <t>Members shall respond to Slack messages within 12–24 hours on working days (same-day response), and faster leading up to major project deadlines.</t>
  </si>
  <si>
    <t>Consideration norms</t>
  </si>
  <si>
    <t>Team members shall provide constructive and polite feedback during code reviews and respect diverse opinions.</t>
  </si>
  <si>
    <t>Members shall communicate mistakes early and transparently without fear of judgment.</t>
  </si>
  <si>
    <t>Cont. improvement norms</t>
  </si>
  <si>
    <t>The team shall actively participate in sprint retrospectives, providing honest input to improve team processes.</t>
  </si>
  <si>
    <t>Team members shall maintain clean inline code documentation and graphical/UML diagrams to ensure continuous knowledge sharing.</t>
  </si>
  <si>
    <t>Rewards</t>
  </si>
  <si>
    <t>Upon successfully completing milestones, the team will celebrate together with a shared team drink (virtually or in person).</t>
  </si>
  <si>
    <t>Sanctions</t>
  </si>
  <si>
    <t>Unexcused tardiness to meetings or unannounced missed deadlines shall be sanctioned with 5 to 20 jumping jacks (scaled by delay) at the start of the next team meeting.</t>
  </si>
  <si>
    <t>Signatures</t>
  </si>
  <si>
    <t>Product owner</t>
  </si>
  <si>
    <t>Software developer</t>
  </si>
  <si>
    <t>Mohamad Munir Adas</t>
  </si>
  <si>
    <t>Erman Cekic</t>
  </si>
  <si>
    <t>Product Vision</t>
  </si>
  <si>
    <t>Project Mission</t>
  </si>
  <si>
    <t>An open-source, AI-enabled healthcare integration layer that matches personal health journeys with relevant, qualitative medical insights, helping patients better understand, track and navigate their individual condition.</t>
  </si>
  <si>
    <t>To design and implement a Model Context Protocol (MCP) server for the mobile AIlixir application that matches synthetic patient journeys with qualitative sources (PubMed, podcasts, literature) using keyword, graph, and LLM-based summarization to deliver clear information back to the patient.</t>
  </si>
  <si>
    <t>Term</t>
  </si>
  <si>
    <t>Definition</t>
  </si>
  <si>
    <t>Sprint #</t>
  </si>
  <si>
    <t>Sprint goal</t>
  </si>
  <si>
    <t>None</t>
  </si>
  <si>
    <t>Optional</t>
  </si>
  <si>
    <t>Write your sprint goal here</t>
  </si>
  <si>
    <t>Story Points Realized</t>
  </si>
  <si>
    <t>PLEASE CREATE THE VELOCITY CHART ON A NEW TAB USING THE DATA FROM THIS TAB</t>
  </si>
  <si>
    <t>Sprint</t>
  </si>
  <si>
    <t>Goal</t>
  </si>
  <si>
    <t>Feature Name</t>
  </si>
  <si>
    <t>Est. size</t>
  </si>
  <si>
    <t>Est. remaining</t>
  </si>
  <si>
    <t>Real size</t>
  </si>
  <si>
    <t>Real remaining</t>
  </si>
  <si>
    <t>Release</t>
  </si>
  <si>
    <t>Total</t>
  </si>
  <si>
    <t>Sprints</t>
  </si>
  <si>
    <t>Estimated burn-down</t>
  </si>
  <si>
    <t>Real burn-down</t>
  </si>
  <si>
    <t>Features</t>
  </si>
  <si>
    <t>PLEASE CREATE THE BURNDOWN CHART ON A NEW TAB USING THE DATA FROM THIS TAB</t>
  </si>
  <si>
    <t>Feature Definition of Done</t>
  </si>
  <si>
    <t>Sprint Release Definition of Done</t>
  </si>
  <si>
    <t>Project Release Definition of Done</t>
  </si>
  <si>
    <t>Type</t>
  </si>
  <si>
    <t>Link / reference</t>
  </si>
  <si>
    <t>Context</t>
  </si>
  <si>
    <t>Name</t>
  </si>
  <si>
    <t>Version</t>
  </si>
  <si>
    <t>License</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</si>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</sst>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1">
    <font>
      <sz val="10.0"/>
      <color rgb="FF000000"/>
      <name val="Arial"/>
    </font>
    <font>
      <b/>
    </font>
    <font/>
    <font>
      <u/>
      <color rgb="FF0000FF"/>
    </font>
    <font>
      <u/>
      <color rgb="FF0000FF"/>
    </font>
    <font>
      <u/>
      <color rgb="FF0000FF"/>
    </font>
    <font>
      <b/>
      <name val="Arial"/>
    </font>
    <font>
      <name val="Arial"/>
    </font>
    <font>
      <name val="Caveat"/>
    </font>
    <font>
      <color rgb="FFFFFFFF"/>
      <name val="Arial"/>
    </font>
    <font>
      <b/>
      <sz val="24.0"/>
      <name val="Arial"/>
    </font>
  </fonts>
  <fills count="9">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11">
    <xf borderId="0" fillId="0" fontId="0" numFmtId="0" xfId="0" applyAlignment="1" applyFont="1">
      <alignment readingOrder="0" shrinkToFit="0" vertical="bottom" wrapText="1"/>
    </xf>
    <xf borderId="0" fillId="0" fontId="1" numFmtId="0" xfId="0" applyAlignment="1" applyFont="1">
      <alignment readingOrder="0" shrinkToFit="0" wrapText="1"/>
    </xf>
    <xf borderId="0" fillId="0" fontId="2" numFmtId="0" xfId="0" applyAlignment="1" applyFont="1">
      <alignment readingOrder="0" shrinkToFit="0" wrapText="1"/>
    </xf>
    <xf borderId="0" fillId="0" fontId="1" numFmtId="0" xfId="0" applyAlignment="1" applyFont="1">
      <alignment shrinkToFit="0" wrapText="1"/>
    </xf>
    <xf borderId="0" fillId="0" fontId="2" numFmtId="0" xfId="0" applyAlignment="1" applyFont="1">
      <alignment shrinkToFit="0" wrapText="1"/>
    </xf>
    <xf borderId="0" fillId="0" fontId="3" numFmtId="0" xfId="0" applyAlignment="1" applyFont="1">
      <alignment readingOrder="0" shrinkToFit="0" wrapText="1"/>
    </xf>
    <xf borderId="0" fillId="0" fontId="1" numFmtId="0" xfId="0" applyAlignment="1" applyFont="1">
      <alignment readingOrder="0" shrinkToFit="0" wrapText="1"/>
    </xf>
    <xf borderId="0" fillId="0" fontId="4" numFmtId="0" xfId="0" applyAlignment="1" applyFont="1">
      <alignment readingOrder="0" shrinkToFit="0" wrapText="1"/>
    </xf>
    <xf borderId="0" fillId="0" fontId="5"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readingOrder="0" shrinkToFit="0" wrapText="1"/>
    </xf>
    <xf borderId="0" fillId="0" fontId="2" numFmtId="0" xfId="0" applyAlignment="1" applyFont="1">
      <alignment shrinkToFit="0" wrapText="0"/>
    </xf>
    <xf borderId="0" fillId="0" fontId="1"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ill="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165" xfId="0" applyAlignment="1" applyFont="1" applyNumberFormat="1">
      <alignment horizontal="left" readingOrder="0" shrinkToFit="0" wrapText="0"/>
    </xf>
    <xf borderId="0" fillId="0" fontId="2" numFmtId="0" xfId="0" applyAlignment="1" applyFon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3" fontId="6" numFmtId="0" xfId="0" applyAlignment="1" applyFill="1" applyFont="1">
      <alignment shrinkToFit="0" vertical="top" wrapText="1"/>
    </xf>
    <xf borderId="0" fillId="3" fontId="7" numFmtId="0" xfId="0" applyAlignment="1" applyFill="1" applyFont="1">
      <alignment readingOrder="0" shrinkToFit="0" vertical="bottom" wrapText="1"/>
    </xf>
    <xf borderId="0" fillId="4" fontId="7" numFmtId="0" xfId="0" applyAlignment="1" applyFill="1" applyFont="1">
      <alignment shrinkToFit="0" vertical="top" wrapText="1"/>
    </xf>
    <xf borderId="0" fillId="3" fontId="6" numFmtId="0" xfId="0" applyAlignment="1" applyFill="1" applyFont="1">
      <alignment readingOrder="0" shrinkToFit="0" vertical="top" wrapText="1"/>
    </xf>
    <xf borderId="0" fillId="3" fontId="7" numFmtId="0" xfId="0" applyAlignment="1" applyFill="1" applyFont="1">
      <alignment shrinkToFit="0" vertical="top" wrapText="1"/>
    </xf>
    <xf borderId="0" fillId="4" fontId="6" numFmtId="0" xfId="0" applyAlignment="1" applyFill="1" applyFont="1">
      <alignment readingOrder="0" shrinkToFit="0" vertical="top" wrapText="1"/>
    </xf>
    <xf borderId="0" fillId="4" fontId="7" numFmtId="0" xfId="0" applyAlignment="1" applyFill="1" applyFont="1">
      <alignment shrinkToFit="0" vertical="top" wrapText="1"/>
    </xf>
    <xf borderId="0" fillId="3" fontId="6" numFmtId="0" xfId="0" applyAlignment="1" applyFill="1" applyFont="1">
      <alignment shrinkToFit="0" vertical="top" wrapText="1"/>
    </xf>
    <xf borderId="0" fillId="4" fontId="6" numFmtId="0" xfId="0" applyAlignment="1" applyFill="1" applyFont="1">
      <alignment shrinkToFit="0" vertical="top" wrapText="1"/>
    </xf>
    <xf borderId="0" fillId="3" fontId="6" numFmtId="0" xfId="0" applyAlignment="1" applyFill="1" applyFont="1">
      <alignment shrinkToFit="0" vertical="bottom" wrapText="1"/>
    </xf>
    <xf borderId="0" fillId="0" fontId="2" numFmtId="0" xfId="0" applyAlignment="1" applyFont="1">
      <alignment shrinkToFit="0" vertical="top" wrapText="1"/>
    </xf>
    <xf borderId="0" fillId="0" fontId="2" numFmtId="0" xfId="0" applyAlignment="1" applyFont="1">
      <alignment shrinkToFit="0" wrapText="1"/>
    </xf>
    <xf borderId="0" fillId="0" fontId="8" numFmtId="0" xfId="0" applyAlignment="1" applyFont="1">
      <alignment readingOrder="0" shrinkToFit="0" wrapText="1"/>
    </xf>
    <xf borderId="0" fillId="2" fontId="1" numFmtId="0" xfId="0" applyAlignment="1" applyFill="1" applyFont="1">
      <alignment readingOrder="0" shrinkToFit="0" wrapText="1"/>
    </xf>
    <xf borderId="0" fillId="3" fontId="2" numFmtId="0" xfId="0" applyAlignment="1" applyFill="1" applyFont="1">
      <alignment shrinkToFit="0" wrapText="1"/>
    </xf>
    <xf borderId="0" fillId="3" fontId="2" numFmtId="0" xfId="0" applyAlignment="1" applyFill="1" applyFont="1">
      <alignment readingOrder="0" shrinkToFit="0" wrapText="1"/>
    </xf>
    <xf borderId="0" fillId="4" fontId="7" numFmtId="0" xfId="0" applyAlignment="1" applyFill="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5" fontId="1" numFmtId="0" xfId="0" applyAlignment="1" applyFill="1" applyFont="1">
      <alignment readingOrder="0" shrinkToFit="0" wrapText="1"/>
    </xf>
    <xf borderId="0" fillId="2" fontId="6" numFmtId="0" xfId="0" applyAlignment="1" applyFill="1" applyFont="1">
      <alignment horizontal="left" shrinkToFit="0" vertical="bottom" wrapText="1"/>
    </xf>
    <xf borderId="0" fillId="2" fontId="6" numFmtId="0" xfId="0" applyAlignment="1" applyFill="1" applyFont="1">
      <alignment shrinkToFit="0" vertical="bottom" wrapText="0"/>
    </xf>
    <xf borderId="0" fillId="2" fontId="6" numFmtId="0" xfId="0" applyAlignment="1" applyFill="1" applyFont="1">
      <alignment shrinkToFit="0" vertical="bottom" wrapText="0"/>
    </xf>
    <xf borderId="0" fillId="2" fontId="6" numFmtId="0" xfId="0" applyAlignment="1" applyFill="1" applyFont="1">
      <alignment horizontal="center" readingOrder="0" shrinkToFit="0" vertical="bottom" wrapText="1"/>
    </xf>
    <xf borderId="0" fillId="3" fontId="7" numFmtId="0" xfId="0" applyAlignment="1" applyFill="1" applyFont="1">
      <alignment horizontal="left" shrinkToFit="0" vertical="bottom" wrapText="1"/>
    </xf>
    <xf borderId="0" fillId="3" fontId="7" numFmtId="0" xfId="0" applyAlignment="1" applyFill="1" applyFont="1">
      <alignment shrinkToFit="0" vertical="bottom" wrapText="0"/>
    </xf>
    <xf borderId="0" fillId="3" fontId="7" numFmtId="0" xfId="0" applyAlignment="1" applyFill="1" applyFont="1">
      <alignment shrinkToFit="0" vertical="bottom" wrapText="1"/>
    </xf>
    <xf borderId="0" fillId="6" fontId="6" numFmtId="0" xfId="0" applyAlignment="1" applyFill="1" applyFont="1">
      <alignment horizontal="left" shrinkToFit="0" vertical="bottom" wrapText="0"/>
    </xf>
    <xf borderId="0" fillId="6" fontId="7" numFmtId="0" xfId="0" applyAlignment="1" applyFill="1" applyFont="1">
      <alignment shrinkToFit="0" vertical="bottom" wrapText="0"/>
    </xf>
    <xf borderId="0" fillId="6" fontId="7" numFmtId="0" xfId="0" applyAlignment="1" applyFill="1" applyFont="1">
      <alignment shrinkToFit="0" vertical="bottom" wrapText="1"/>
    </xf>
    <xf borderId="0" fillId="4" fontId="6" numFmtId="0" xfId="0" applyAlignment="1" applyFill="1" applyFont="1">
      <alignment shrinkToFit="0" vertical="bottom" wrapText="0"/>
    </xf>
    <xf borderId="0" fillId="0" fontId="2" numFmtId="0" xfId="0" applyAlignment="1" applyFont="1">
      <alignment shrinkToFit="0" wrapText="0"/>
    </xf>
    <xf borderId="0" fillId="4" fontId="7" numFmtId="0" xfId="0" applyAlignment="1" applyFill="1" applyFont="1">
      <alignment shrinkToFit="0" vertical="bottom" wrapText="1"/>
    </xf>
    <xf borderId="0" fillId="4" fontId="7" numFmtId="0" xfId="0" applyAlignment="1" applyFill="1" applyFont="1">
      <alignment horizontal="right" shrinkToFit="0" vertical="bottom" wrapText="0"/>
    </xf>
    <xf borderId="0" fillId="7" fontId="6" numFmtId="0" xfId="0" applyAlignment="1" applyFill="1" applyFont="1">
      <alignment horizontal="left" shrinkToFit="0" vertical="bottom" wrapText="0"/>
    </xf>
    <xf borderId="0" fillId="7" fontId="6" numFmtId="0" xfId="0" applyAlignment="1" applyFill="1" applyFont="1">
      <alignment shrinkToFit="0" vertical="bottom" wrapText="0"/>
    </xf>
    <xf borderId="0" fillId="7" fontId="7" numFmtId="0" xfId="0" applyAlignment="1" applyFill="1" applyFont="1">
      <alignment shrinkToFit="0" vertical="bottom" wrapText="1"/>
    </xf>
    <xf borderId="0" fillId="3" fontId="9" numFmtId="0" xfId="0" applyAlignment="1" applyFill="1" applyFont="1">
      <alignment horizontal="center" shrinkToFit="0" vertical="bottom" wrapText="0"/>
    </xf>
    <xf borderId="0" fillId="4" fontId="7" numFmtId="0" xfId="0" applyAlignment="1" applyFill="1" applyFont="1">
      <alignment horizontal="left" shrinkToFit="0" vertical="bottom" wrapText="1"/>
    </xf>
    <xf borderId="0" fillId="3" fontId="7" numFmtId="0" xfId="0" applyAlignment="1" applyFill="1" applyFont="1">
      <alignment horizontal="right" shrinkToFit="0" vertical="bottom" wrapText="0"/>
    </xf>
    <xf borderId="0" fillId="3" fontId="7" numFmtId="0" xfId="0" applyAlignment="1" applyFill="1" applyFont="1">
      <alignment horizontal="left" readingOrder="0" shrinkToFit="0" vertical="bottom" wrapText="1"/>
    </xf>
    <xf borderId="0" fillId="3" fontId="7" numFmtId="0" xfId="0" applyAlignment="1" applyFill="1" applyFont="1">
      <alignment shrinkToFit="0" vertical="bottom" wrapText="0"/>
    </xf>
    <xf borderId="0" fillId="8" fontId="6" numFmtId="0" xfId="0" applyAlignment="1" applyFill="1" applyFont="1">
      <alignment horizontal="left" shrinkToFit="0" vertical="bottom" wrapText="0"/>
    </xf>
    <xf borderId="0" fillId="8" fontId="6" numFmtId="0" xfId="0" applyAlignment="1" applyFill="1" applyFont="1">
      <alignment shrinkToFit="0" vertical="bottom" wrapText="0"/>
    </xf>
    <xf borderId="0" fillId="8" fontId="7" numFmtId="0" xfId="0" applyAlignment="1" applyFill="1" applyFont="1">
      <alignment shrinkToFit="0" vertical="bottom" wrapText="1"/>
    </xf>
    <xf borderId="0" fillId="3" fontId="6" numFmtId="0" xfId="0" applyAlignment="1" applyFill="1" applyFont="1">
      <alignment horizontal="left" shrinkToFit="0" vertical="bottom" wrapText="0"/>
    </xf>
    <xf borderId="0" fillId="3" fontId="6" numFmtId="0" xfId="0" applyAlignment="1" applyFill="1" applyFont="1">
      <alignment shrinkToFit="0" vertical="bottom" wrapText="0"/>
    </xf>
    <xf borderId="0" fillId="4" fontId="7" numFmtId="0" xfId="0" applyAlignment="1" applyFill="1" applyFont="1">
      <alignment shrinkToFit="0" vertical="bottom" wrapText="0"/>
    </xf>
    <xf borderId="0" fillId="3" fontId="7" numFmtId="0" xfId="0" applyAlignment="1" applyFill="1" applyFont="1">
      <alignment horizontal="right" shrinkToFit="0" vertical="bottom" wrapText="0"/>
    </xf>
    <xf borderId="0" fillId="3" fontId="7" numFmtId="0" xfId="0" applyAlignment="1" applyFill="1" applyFont="1">
      <alignment horizontal="left" shrinkToFit="0" vertical="bottom" wrapText="1"/>
    </xf>
    <xf borderId="0" fillId="5" fontId="1" numFmtId="0" xfId="0" applyAlignment="1" applyFill="1" applyFont="1">
      <alignment readingOrder="0" shrinkToFit="0" wrapText="0"/>
    </xf>
    <xf borderId="0" fillId="2" fontId="6" numFmtId="0" xfId="0" applyAlignment="1" applyFill="1" applyFont="1">
      <alignment shrinkToFit="0" vertical="bottom" wrapText="1"/>
    </xf>
    <xf borderId="0" fillId="7" fontId="6" numFmtId="0" xfId="0" applyAlignment="1" applyFill="1" applyFont="1">
      <alignment shrinkToFit="0" vertical="bottom" wrapText="0"/>
    </xf>
    <xf borderId="0" fillId="3" fontId="7" numFmtId="0" xfId="0" applyAlignment="1" applyFill="1" applyFont="1">
      <alignment shrinkToFit="0" vertical="bottom" wrapText="1"/>
    </xf>
    <xf borderId="0" fillId="2" fontId="6" numFmtId="0" xfId="0" applyAlignment="1" applyFill="1" applyFont="1">
      <alignment shrinkToFit="0" vertical="bottom" wrapText="1"/>
    </xf>
    <xf borderId="0" fillId="2" fontId="6" numFmtId="0" xfId="0" applyAlignment="1" applyFill="1" applyFont="1">
      <alignment readingOrder="0" shrinkToFit="0" vertical="bottom" wrapText="0"/>
    </xf>
    <xf borderId="0" fillId="2" fontId="6" numFmtId="0" xfId="0" applyAlignment="1" applyFill="1" applyFont="1">
      <alignment shrinkToFit="0" vertical="center" wrapText="1"/>
    </xf>
    <xf borderId="0" fillId="2" fontId="6" numFmtId="0" xfId="0" applyAlignment="1" applyFill="1" applyFont="1">
      <alignment horizontal="center" shrinkToFit="0" vertical="center" wrapText="1"/>
    </xf>
    <xf borderId="0" fillId="2" fontId="6" numFmtId="4" xfId="0" applyAlignment="1" applyFill="1" applyFont="1" applyNumberFormat="1">
      <alignment shrinkToFit="0" vertical="center" wrapText="1"/>
    </xf>
    <xf borderId="0" fillId="2" fontId="7" numFmtId="4" xfId="0" applyAlignment="1" applyFill="1" applyFont="1" applyNumberFormat="1">
      <alignment shrinkToFit="0" vertical="center" wrapText="1"/>
    </xf>
    <xf borderId="0" fillId="2" fontId="7" numFmtId="0" xfId="0" applyAlignment="1" applyFill="1" applyFont="1">
      <alignment shrinkToFit="0" vertical="center" wrapText="1"/>
    </xf>
    <xf borderId="0" fillId="2" fontId="1" numFmtId="0" xfId="0" applyAlignment="1" applyFill="1" applyFont="1">
      <alignment shrinkToFit="0" vertical="center" wrapText="1"/>
    </xf>
    <xf borderId="0" fillId="3" fontId="6" numFmtId="0" xfId="0" applyAlignment="1" applyFill="1" applyFont="1">
      <alignment shrinkToFit="0" vertical="center" wrapText="1"/>
    </xf>
    <xf borderId="0" fillId="5" fontId="7" numFmtId="0" xfId="0" applyAlignment="1" applyFill="1" applyFont="1">
      <alignment horizontal="center" readingOrder="0" shrinkToFit="0" vertical="center" wrapText="1"/>
    </xf>
    <xf borderId="0" fillId="3" fontId="7" numFmtId="4" xfId="0" applyAlignment="1" applyFill="1" applyFont="1" applyNumberFormat="1">
      <alignment shrinkToFit="0" vertical="center" wrapText="1"/>
    </xf>
    <xf borderId="0" fillId="8" fontId="10" numFmtId="4" xfId="0" applyAlignment="1" applyFill="1" applyFont="1" applyNumberFormat="1">
      <alignment horizontal="center" shrinkToFit="0" vertical="center" wrapText="1"/>
    </xf>
    <xf borderId="0" fillId="8" fontId="10" numFmtId="0" xfId="0" applyAlignment="1" applyFill="1" applyFont="1">
      <alignment horizontal="center" shrinkToFit="0" vertical="center" wrapText="1"/>
    </xf>
    <xf borderId="0" fillId="3" fontId="2" numFmtId="0" xfId="0" applyAlignment="1" applyFill="1" applyFont="1">
      <alignment shrinkToFit="0" vertical="center" wrapText="1"/>
    </xf>
    <xf borderId="0" fillId="4" fontId="6" numFmtId="0" xfId="0" applyAlignment="1" applyFill="1" applyFont="1">
      <alignment shrinkToFit="0" vertical="center" wrapText="1"/>
    </xf>
    <xf borderId="0" fillId="4" fontId="7" numFmtId="4" xfId="0" applyAlignment="1" applyFill="1" applyFont="1" applyNumberFormat="1">
      <alignment shrinkToFit="0" vertical="center" wrapText="1"/>
    </xf>
    <xf borderId="0" fillId="4" fontId="2" numFmtId="0" xfId="0" applyAlignment="1" applyFill="1" applyFont="1">
      <alignment shrinkToFit="0" vertical="center" wrapText="1"/>
    </xf>
    <xf borderId="0" fillId="5" fontId="7" numFmtId="0" xfId="0" applyAlignment="1" applyFill="1" applyFont="1">
      <alignment horizontal="center" shrinkToFit="0" vertical="center" wrapText="1"/>
    </xf>
    <xf borderId="0" fillId="5" fontId="7" numFmtId="0" xfId="0" applyAlignment="1" applyFill="1" applyFont="1">
      <alignment horizontal="center" shrinkToFit="0" vertical="center" wrapText="1"/>
    </xf>
    <xf borderId="0" fillId="4" fontId="7" numFmtId="0" xfId="0" applyAlignment="1" applyFill="1" applyFont="1">
      <alignment shrinkToFit="0" vertical="center" wrapText="1"/>
    </xf>
    <xf borderId="0" fillId="3" fontId="7" numFmtId="0" xfId="0" applyAlignment="1" applyFill="1" applyFont="1">
      <alignment shrinkToFit="0" vertical="center" wrapText="1"/>
    </xf>
    <xf borderId="0" fillId="7" fontId="7" numFmtId="0" xfId="0" applyAlignment="1" applyFill="1" applyFont="1">
      <alignment horizontal="center" shrinkToFit="0" vertical="center" wrapText="1"/>
    </xf>
    <xf borderId="0" fillId="7" fontId="7" numFmtId="0" xfId="0" applyAlignment="1" applyFill="1" applyFont="1">
      <alignment readingOrder="0" shrinkToFit="0" vertical="center" wrapText="1"/>
    </xf>
    <xf borderId="0" fillId="3" fontId="1" numFmtId="0" xfId="0" applyAlignment="1" applyFill="1" applyFont="1">
      <alignment shrinkToFit="0" wrapText="0"/>
    </xf>
    <xf borderId="0" fillId="3" fontId="1" numFmtId="0" xfId="0" applyAlignment="1" applyFill="1" applyFont="1">
      <alignment shrinkToFit="0" wrapText="0"/>
    </xf>
    <xf borderId="0" fillId="4" fontId="2" numFmtId="0" xfId="0" applyAlignment="1" applyFill="1" applyFont="1">
      <alignment shrinkToFit="0" wrapText="0"/>
    </xf>
    <xf borderId="0" fillId="3" fontId="2" numFmtId="0" xfId="0" applyAlignment="1" applyFill="1" applyFont="1">
      <alignment shrinkToFit="0" wrapText="0"/>
    </xf>
    <xf borderId="0" fillId="3" fontId="2" numFmtId="0" xfId="0" applyAlignment="1" applyFill="1" applyFont="1">
      <alignment shrinkToFit="0" wrapText="0"/>
    </xf>
    <xf borderId="0" fillId="4" fontId="2" numFmtId="0" xfId="0" applyAlignment="1" applyFill="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2">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2" pivot="0" name="Team Contract-style">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id="1"/>
    <tableColumn name="AIlixir Patient Journey Matcher" id="2"/>
  </tableColumns>
  <tableStyleInfo name="Project Data-style" showColumnStripes="0" showFirstColumn="1" showLastColumn="1" showRowStripes="1"/>
</table>
</file>

<file path=xl/tables/table2.xml><?xml version="1.0" encoding="utf-8"?>
<table xmlns="http://schemas.openxmlformats.org/spreadsheetml/2006/main" ref="A1:D19"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headerRowCount="0" ref="A1:B30" displayName="Table_4" name="Table_4" id="4">
  <tableColumns count="2">
    <tableColumn name="Column1" id="1"/>
    <tableColumn name="Column2"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B20" displayName="Table_7" name="Table_7" id="7">
  <tableColumns count="2">
    <tableColumn name="Sprint #" id="1"/>
    <tableColumn name="Story Points Realized" id="2"/>
  </tableColumns>
  <tableStyleInfo name="Velocity Tracking-style" showColumnStripes="0" showFirstColumn="1" showLastColumn="1" showRowStripes="1"/>
</table>
</file>

<file path=xl/tables/table8.xml><?xml version="1.0" encoding="utf-8"?>
<table xmlns="http://schemas.openxmlformats.org/spreadsheetml/2006/main" ref="A1:G34"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ref="A1:G34"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20"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tables/table12.xml><?xml version="1.0" encoding="utf-8"?>
<table xmlns="http://schemas.openxmlformats.org/spreadsheetml/2006/main" ref="A1:F20" displayName="Table_12" name="Table_12" id="12">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fau.zoom-x.de/j/63814190741?pwd=IqXz0xbIrMCk01I1RENueDyarj9E34.1" TargetMode="External"/><Relationship Id="rId2" Type="http://schemas.openxmlformats.org/officeDocument/2006/relationships/hyperlink" Target="https://github.com/amosproj/amos2026ws03-patient-journey-matcher" TargetMode="External"/><Relationship Id="rId3" Type="http://schemas.openxmlformats.org/officeDocument/2006/relationships/hyperlink" Target="https://github.com/orgs/amosproj/projects/111" TargetMode="External"/><Relationship Id="rId4" Type="http://schemas.openxmlformats.org/officeDocument/2006/relationships/hyperlink" Target="https://github.com/orgs/amosproj/projects/115" TargetMode="External"/><Relationship Id="rId9" Type="http://schemas.openxmlformats.org/officeDocument/2006/relationships/table" Target="../tables/table1.xml"/><Relationship Id="rId5" Type="http://schemas.openxmlformats.org/officeDocument/2006/relationships/hyperlink" Target="https://github.com/amosproj/amos2026ws03-patient-journey-matcher/blob/main/Deliverables/sprint-01/Dummy.md" TargetMode="External"/><Relationship Id="rId6" Type="http://schemas.openxmlformats.org/officeDocument/2006/relationships/hyperlink" Target="https://github.com/amosproj/amos2026ws03-patient-journey-matcher/blob/main/Deliverables/sprint-01/team-logo.png"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3"/>
      <c r="B2" s="4"/>
    </row>
    <row r="3">
      <c r="A3" s="1" t="s">
        <v>2</v>
      </c>
      <c r="B3" s="5" t="s">
        <v>3</v>
      </c>
    </row>
    <row r="4">
      <c r="A4" s="3"/>
      <c r="B4" s="4"/>
    </row>
    <row r="5">
      <c r="A5" s="1" t="s">
        <v>4</v>
      </c>
      <c r="B5" s="2" t="s">
        <v>5</v>
      </c>
    </row>
    <row r="6">
      <c r="A6" s="1" t="s">
        <v>6</v>
      </c>
      <c r="B6" s="2" t="s">
        <v>5</v>
      </c>
    </row>
    <row r="7">
      <c r="A7" s="3"/>
      <c r="B7" s="4"/>
    </row>
    <row r="8">
      <c r="A8" s="1" t="s">
        <v>7</v>
      </c>
      <c r="B8" s="5" t="s">
        <v>8</v>
      </c>
    </row>
    <row r="9">
      <c r="A9" s="1" t="s">
        <v>9</v>
      </c>
      <c r="B9" s="5" t="s">
        <v>10</v>
      </c>
    </row>
    <row r="10">
      <c r="A10" s="1" t="s">
        <v>11</v>
      </c>
      <c r="B10" s="5" t="s">
        <v>12</v>
      </c>
    </row>
    <row r="11">
      <c r="A11" s="3"/>
      <c r="B11" s="4"/>
    </row>
    <row r="12">
      <c r="A12" s="6" t="s">
        <v>13</v>
      </c>
      <c r="B12" s="2" t="s">
        <v>14</v>
      </c>
    </row>
    <row r="13">
      <c r="A13" s="1" t="s">
        <v>15</v>
      </c>
      <c r="B13" s="7" t="s">
        <v>16</v>
      </c>
    </row>
    <row r="14">
      <c r="A14" s="1" t="s">
        <v>17</v>
      </c>
      <c r="B14" s="8" t="s">
        <v>16</v>
      </c>
    </row>
    <row r="15">
      <c r="A15" s="3"/>
      <c r="B15" s="4"/>
    </row>
    <row r="16">
      <c r="A16" s="3" t="s">
        <v>18</v>
      </c>
      <c r="B16" s="4" t="s">
        <v>5</v>
      </c>
    </row>
    <row r="17">
      <c r="A17" s="3"/>
      <c r="B17" s="4"/>
    </row>
    <row r="18">
      <c r="A18" s="1" t="s">
        <v>19</v>
      </c>
      <c r="B18" s="2" t="s">
        <v>20</v>
      </c>
    </row>
    <row r="19">
      <c r="A19" s="3"/>
      <c r="B19" s="4"/>
    </row>
    <row r="20">
      <c r="A20" s="3"/>
      <c r="B20" s="4"/>
    </row>
  </sheetData>
  <dataValidations>
    <dataValidation type="list" allowBlank="1" showErrorMessage="1" sqref="B12">
      <formula1>"Upper Torso Center Large,Upper Torso Right Small"</formula1>
    </dataValidation>
  </dataValidations>
  <hyperlinks>
    <hyperlink r:id="rId1" ref="B3"/>
    <hyperlink r:id="rId2" ref="B8"/>
    <hyperlink r:id="rId3" ref="B9"/>
    <hyperlink r:id="rId4" ref="B10"/>
    <hyperlink r:id="rId5" ref="B13"/>
    <hyperlink r:id="rId6" ref="B14"/>
  </hyperlinks>
  <printOptions gridLines="1" horizontalCentered="1"/>
  <pageMargins bottom="0.75" footer="0.0" header="0.0" left="0.7" right="0.7" top="0.75"/>
  <pageSetup fitToHeight="0" paperSize="9" cellComments="atEnd" orientation="landscape" pageOrder="overThenDown"/>
  <drawing r:id="rId7"/>
  <tableParts count="1">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9" t="s">
        <v>21</v>
      </c>
      <c r="B1" s="9" t="s">
        <v>22</v>
      </c>
      <c r="C1" s="9" t="s">
        <v>23</v>
      </c>
      <c r="D1" s="9" t="s">
        <v>24</v>
      </c>
    </row>
    <row r="2">
      <c r="A2" s="10" t="s">
        <v>25</v>
      </c>
      <c r="B2" s="10" t="s">
        <v>26</v>
      </c>
      <c r="C2" s="11" t="s">
        <v>27</v>
      </c>
      <c r="D2" s="11" t="s">
        <v>28</v>
      </c>
    </row>
    <row r="3">
      <c r="A3" s="10" t="s">
        <v>29</v>
      </c>
      <c r="B3" s="10" t="s">
        <v>30</v>
      </c>
      <c r="C3" s="10" t="s">
        <v>31</v>
      </c>
      <c r="D3" s="10" t="s">
        <v>32</v>
      </c>
    </row>
    <row r="4">
      <c r="A4" s="11" t="s">
        <v>33</v>
      </c>
      <c r="B4" s="11" t="s">
        <v>34</v>
      </c>
      <c r="C4" s="10" t="s">
        <v>35</v>
      </c>
      <c r="D4" s="10" t="s">
        <v>36</v>
      </c>
    </row>
    <row r="5">
      <c r="A5" s="10" t="s">
        <v>37</v>
      </c>
      <c r="B5" s="10" t="s">
        <v>38</v>
      </c>
      <c r="C5" s="10" t="s">
        <v>39</v>
      </c>
      <c r="D5" s="10" t="s">
        <v>40</v>
      </c>
    </row>
    <row r="6">
      <c r="A6" s="10" t="s">
        <v>41</v>
      </c>
      <c r="B6" s="10" t="s">
        <v>42</v>
      </c>
      <c r="C6" s="10" t="s">
        <v>43</v>
      </c>
      <c r="D6" s="10" t="s">
        <v>44</v>
      </c>
    </row>
    <row r="7">
      <c r="A7" s="10" t="s">
        <v>45</v>
      </c>
      <c r="B7" s="10" t="s">
        <v>46</v>
      </c>
      <c r="C7" s="10" t="s">
        <v>47</v>
      </c>
      <c r="D7" s="10" t="s">
        <v>48</v>
      </c>
    </row>
    <row r="8">
      <c r="A8" s="10" t="s">
        <v>49</v>
      </c>
      <c r="B8" s="10" t="s">
        <v>50</v>
      </c>
      <c r="C8" s="10" t="s">
        <v>51</v>
      </c>
      <c r="D8" s="10" t="s">
        <v>52</v>
      </c>
    </row>
    <row r="9">
      <c r="A9" s="10" t="s">
        <v>53</v>
      </c>
      <c r="B9" s="10" t="s">
        <v>54</v>
      </c>
      <c r="C9" s="10" t="s">
        <v>55</v>
      </c>
      <c r="D9" s="10" t="s">
        <v>56</v>
      </c>
    </row>
    <row r="10">
      <c r="A10" s="10" t="s">
        <v>57</v>
      </c>
      <c r="B10" s="10" t="s">
        <v>58</v>
      </c>
      <c r="C10" s="10" t="s">
        <v>59</v>
      </c>
      <c r="D10" s="10" t="s">
        <v>60</v>
      </c>
    </row>
    <row r="11">
      <c r="A11" s="12"/>
      <c r="B11" s="12"/>
      <c r="C11" s="12"/>
      <c r="D11" s="12"/>
    </row>
    <row r="12">
      <c r="A12" s="9"/>
      <c r="B12" s="13"/>
      <c r="C12" s="13"/>
      <c r="D12" s="13"/>
    </row>
    <row r="13">
      <c r="A13" s="12"/>
      <c r="B13" s="10"/>
      <c r="C13" s="12"/>
      <c r="D13" s="12"/>
    </row>
    <row r="14">
      <c r="A14" s="12"/>
      <c r="B14" s="10"/>
      <c r="C14" s="12"/>
      <c r="D14" s="12"/>
    </row>
    <row r="15">
      <c r="A15" s="12"/>
      <c r="B15" s="12"/>
      <c r="C15" s="12"/>
      <c r="D15" s="12"/>
    </row>
    <row r="16">
      <c r="A16" s="12"/>
      <c r="B16" s="12"/>
      <c r="C16" s="12"/>
      <c r="D16" s="12"/>
    </row>
    <row r="17">
      <c r="A17" s="12"/>
      <c r="B17" s="12"/>
      <c r="C17" s="12"/>
      <c r="D17" s="12"/>
    </row>
    <row r="18">
      <c r="A18" s="12"/>
      <c r="B18" s="12"/>
      <c r="C18" s="12"/>
      <c r="D18" s="12"/>
    </row>
    <row r="19">
      <c r="A19" s="12"/>
      <c r="B19" s="12"/>
      <c r="C19" s="12"/>
      <c r="D19" s="12"/>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4"/>
      <c r="B1" s="14"/>
      <c r="C1" s="14" t="s">
        <v>61</v>
      </c>
      <c r="E1" s="14"/>
      <c r="F1" s="15"/>
      <c r="G1" s="15"/>
      <c r="H1" s="14"/>
    </row>
    <row r="2">
      <c r="A2" s="16" t="s">
        <v>62</v>
      </c>
      <c r="B2" s="16" t="s">
        <v>63</v>
      </c>
      <c r="C2" s="16" t="s">
        <v>64</v>
      </c>
      <c r="D2" s="16" t="s">
        <v>65</v>
      </c>
      <c r="E2" s="16" t="s">
        <v>66</v>
      </c>
      <c r="F2" s="17" t="s">
        <v>67</v>
      </c>
      <c r="G2" s="17" t="s">
        <v>68</v>
      </c>
      <c r="H2" s="16" t="s">
        <v>69</v>
      </c>
    </row>
    <row r="3">
      <c r="A3" s="18">
        <v>1.0</v>
      </c>
      <c r="B3" s="19">
        <v>46309.0</v>
      </c>
      <c r="C3" s="10"/>
      <c r="D3" s="10" t="s">
        <v>70</v>
      </c>
      <c r="E3" s="10" t="s">
        <v>71</v>
      </c>
      <c r="F3" s="10" t="s">
        <v>72</v>
      </c>
      <c r="G3" s="10" t="s">
        <v>73</v>
      </c>
      <c r="H3" s="20"/>
    </row>
    <row r="4">
      <c r="A4" s="18">
        <v>2.0</v>
      </c>
      <c r="B4" s="19">
        <v>46316.0</v>
      </c>
      <c r="C4" s="10" t="s">
        <v>70</v>
      </c>
      <c r="D4" s="10" t="s">
        <v>74</v>
      </c>
      <c r="E4" s="10" t="s">
        <v>71</v>
      </c>
      <c r="F4" s="10" t="s">
        <v>75</v>
      </c>
      <c r="G4" s="10" t="s">
        <v>73</v>
      </c>
      <c r="H4" s="20"/>
    </row>
    <row r="5">
      <c r="A5" s="18">
        <v>3.0</v>
      </c>
      <c r="B5" s="19">
        <v>46323.0</v>
      </c>
      <c r="C5" s="10" t="s">
        <v>74</v>
      </c>
      <c r="D5" s="10" t="s">
        <v>70</v>
      </c>
      <c r="E5" s="10" t="s">
        <v>71</v>
      </c>
      <c r="F5" s="10" t="s">
        <v>76</v>
      </c>
      <c r="G5" s="10" t="s">
        <v>73</v>
      </c>
      <c r="H5" s="20"/>
    </row>
    <row r="6">
      <c r="A6" s="18">
        <v>4.0</v>
      </c>
      <c r="B6" s="19">
        <v>46330.0</v>
      </c>
      <c r="C6" s="10" t="s">
        <v>70</v>
      </c>
      <c r="D6" s="10" t="s">
        <v>74</v>
      </c>
      <c r="E6" s="10" t="s">
        <v>71</v>
      </c>
      <c r="F6" s="10" t="s">
        <v>77</v>
      </c>
      <c r="G6" s="10" t="s">
        <v>73</v>
      </c>
      <c r="H6" s="21" t="s">
        <v>78</v>
      </c>
    </row>
    <row r="7">
      <c r="A7" s="18">
        <v>5.0</v>
      </c>
      <c r="B7" s="19">
        <v>46337.0</v>
      </c>
      <c r="C7" s="10" t="s">
        <v>74</v>
      </c>
      <c r="D7" s="10" t="s">
        <v>70</v>
      </c>
      <c r="E7" s="10" t="s">
        <v>71</v>
      </c>
      <c r="F7" s="10" t="s">
        <v>79</v>
      </c>
      <c r="G7" s="10" t="s">
        <v>73</v>
      </c>
      <c r="H7" s="20"/>
    </row>
    <row r="8">
      <c r="A8" s="18">
        <v>6.0</v>
      </c>
      <c r="B8" s="19">
        <v>46344.0</v>
      </c>
      <c r="C8" s="10" t="s">
        <v>70</v>
      </c>
      <c r="D8" s="10" t="s">
        <v>74</v>
      </c>
      <c r="E8" s="10" t="s">
        <v>71</v>
      </c>
      <c r="F8" s="10" t="s">
        <v>76</v>
      </c>
      <c r="G8" s="10" t="s">
        <v>73</v>
      </c>
      <c r="H8" s="20"/>
    </row>
    <row r="9">
      <c r="A9" s="18">
        <v>7.0</v>
      </c>
      <c r="B9" s="19">
        <v>46351.0</v>
      </c>
      <c r="C9" s="10" t="s">
        <v>74</v>
      </c>
      <c r="D9" s="10" t="s">
        <v>70</v>
      </c>
      <c r="E9" s="10" t="s">
        <v>71</v>
      </c>
      <c r="F9" s="10" t="s">
        <v>58</v>
      </c>
      <c r="G9" s="10" t="s">
        <v>73</v>
      </c>
      <c r="H9" s="21" t="s">
        <v>80</v>
      </c>
    </row>
    <row r="10">
      <c r="A10" s="18">
        <v>8.0</v>
      </c>
      <c r="B10" s="19">
        <v>46358.0</v>
      </c>
      <c r="C10" s="10" t="s">
        <v>70</v>
      </c>
      <c r="D10" s="10" t="s">
        <v>74</v>
      </c>
      <c r="E10" s="10" t="s">
        <v>71</v>
      </c>
      <c r="F10" s="10" t="s">
        <v>58</v>
      </c>
      <c r="G10" s="10" t="s">
        <v>73</v>
      </c>
      <c r="H10" s="20"/>
    </row>
    <row r="11">
      <c r="A11" s="18">
        <v>9.0</v>
      </c>
      <c r="B11" s="19">
        <v>46365.0</v>
      </c>
      <c r="C11" s="10" t="s">
        <v>74</v>
      </c>
      <c r="D11" s="10" t="s">
        <v>70</v>
      </c>
      <c r="E11" s="10" t="s">
        <v>71</v>
      </c>
      <c r="F11" s="10" t="s">
        <v>75</v>
      </c>
      <c r="G11" s="10" t="s">
        <v>73</v>
      </c>
      <c r="H11" s="20"/>
    </row>
    <row r="12">
      <c r="A12" s="18">
        <v>10.0</v>
      </c>
      <c r="B12" s="19">
        <v>46372.0</v>
      </c>
      <c r="C12" s="10" t="s">
        <v>70</v>
      </c>
      <c r="D12" s="10" t="s">
        <v>74</v>
      </c>
      <c r="E12" s="10" t="s">
        <v>71</v>
      </c>
      <c r="F12" s="10" t="s">
        <v>79</v>
      </c>
      <c r="G12" s="10" t="s">
        <v>73</v>
      </c>
      <c r="H12" s="20"/>
    </row>
    <row r="13">
      <c r="A13" s="18">
        <v>11.0</v>
      </c>
      <c r="B13" s="19">
        <v>46400.0</v>
      </c>
      <c r="C13" s="10" t="s">
        <v>74</v>
      </c>
      <c r="D13" s="10" t="s">
        <v>70</v>
      </c>
      <c r="E13" s="10" t="s">
        <v>71</v>
      </c>
      <c r="F13" s="10" t="s">
        <v>81</v>
      </c>
      <c r="G13" s="10" t="s">
        <v>73</v>
      </c>
      <c r="H13" s="20"/>
    </row>
    <row r="14">
      <c r="A14" s="18">
        <v>12.0</v>
      </c>
      <c r="B14" s="19">
        <v>46407.0</v>
      </c>
      <c r="C14" s="10" t="s">
        <v>70</v>
      </c>
      <c r="D14" s="10" t="s">
        <v>74</v>
      </c>
      <c r="E14" s="10" t="s">
        <v>71</v>
      </c>
      <c r="F14" s="10" t="s">
        <v>81</v>
      </c>
      <c r="G14" s="10" t="s">
        <v>73</v>
      </c>
      <c r="H14" s="20"/>
    </row>
    <row r="15">
      <c r="A15" s="18">
        <v>13.0</v>
      </c>
      <c r="B15" s="19">
        <v>46414.0</v>
      </c>
      <c r="C15" s="10" t="s">
        <v>74</v>
      </c>
      <c r="D15" s="10" t="s">
        <v>70</v>
      </c>
      <c r="E15" s="10" t="s">
        <v>71</v>
      </c>
      <c r="F15" s="10" t="s">
        <v>76</v>
      </c>
      <c r="G15" s="10" t="s">
        <v>73</v>
      </c>
      <c r="H15" s="20"/>
    </row>
    <row r="16">
      <c r="A16" s="18">
        <v>14.0</v>
      </c>
      <c r="B16" s="19">
        <v>46421.0</v>
      </c>
      <c r="C16" s="10" t="s">
        <v>70</v>
      </c>
      <c r="D16" s="10" t="s">
        <v>74</v>
      </c>
      <c r="E16" s="10" t="s">
        <v>71</v>
      </c>
      <c r="F16" s="12"/>
      <c r="G16" s="10" t="s">
        <v>73</v>
      </c>
      <c r="H16" s="21" t="s">
        <v>82</v>
      </c>
    </row>
    <row r="17">
      <c r="A17" s="18">
        <v>15.0</v>
      </c>
      <c r="B17" s="19">
        <v>46428.0</v>
      </c>
      <c r="C17" s="10" t="s">
        <v>74</v>
      </c>
      <c r="D17" s="10"/>
      <c r="E17" s="10" t="s">
        <v>71</v>
      </c>
      <c r="F17" s="12"/>
      <c r="G17" s="10" t="s">
        <v>73</v>
      </c>
      <c r="H17" s="21" t="s">
        <v>83</v>
      </c>
    </row>
    <row r="18">
      <c r="A18" s="18"/>
      <c r="B18" s="22"/>
      <c r="C18" s="12"/>
      <c r="D18" s="12"/>
      <c r="E18" s="12"/>
      <c r="F18" s="12"/>
      <c r="G18" s="12"/>
      <c r="H18" s="23"/>
    </row>
    <row r="19">
      <c r="A19" s="21" t="s">
        <v>84</v>
      </c>
      <c r="B19" s="24"/>
      <c r="C19" s="25"/>
      <c r="D19" s="25"/>
      <c r="E19" s="25"/>
      <c r="F19" s="25"/>
      <c r="G19" s="25"/>
      <c r="H19" s="23"/>
    </row>
    <row r="20">
      <c r="A20" s="25"/>
      <c r="B20" s="22"/>
      <c r="C20" s="12"/>
      <c r="D20" s="12"/>
      <c r="E20" s="12"/>
      <c r="F20" s="12"/>
      <c r="G20" s="12"/>
      <c r="H20" s="23"/>
    </row>
    <row r="21">
      <c r="A21" s="18"/>
      <c r="B21" s="22"/>
      <c r="C21" s="12"/>
      <c r="D21" s="12"/>
      <c r="E21" s="12"/>
      <c r="F21" s="12"/>
      <c r="G21" s="12"/>
      <c r="H21" s="23"/>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26" t="s">
        <v>85</v>
      </c>
      <c r="B1" s="27" t="s">
        <v>86</v>
      </c>
    </row>
    <row r="2">
      <c r="A2" s="28"/>
      <c r="B2" s="11" t="s">
        <v>87</v>
      </c>
    </row>
    <row r="3">
      <c r="A3" s="29" t="s">
        <v>88</v>
      </c>
      <c r="B3" s="11" t="s">
        <v>89</v>
      </c>
    </row>
    <row r="4">
      <c r="A4" s="28"/>
      <c r="B4" s="11" t="s">
        <v>90</v>
      </c>
    </row>
    <row r="5">
      <c r="A5" s="30"/>
      <c r="B5" s="11" t="s">
        <v>91</v>
      </c>
    </row>
    <row r="6">
      <c r="A6" s="31" t="s">
        <v>92</v>
      </c>
      <c r="B6" s="11" t="s">
        <v>93</v>
      </c>
    </row>
    <row r="7">
      <c r="A7" s="30"/>
      <c r="B7" s="11" t="s">
        <v>94</v>
      </c>
    </row>
    <row r="8">
      <c r="A8" s="31"/>
      <c r="B8" s="11" t="s">
        <v>95</v>
      </c>
    </row>
    <row r="9">
      <c r="A9" s="29" t="s">
        <v>96</v>
      </c>
      <c r="B9" s="11" t="s">
        <v>97</v>
      </c>
    </row>
    <row r="10">
      <c r="A10" s="28"/>
      <c r="B10" s="11" t="s">
        <v>98</v>
      </c>
    </row>
    <row r="11">
      <c r="A11" s="29" t="s">
        <v>99</v>
      </c>
      <c r="B11" s="11" t="s">
        <v>100</v>
      </c>
    </row>
    <row r="12">
      <c r="A12" s="28"/>
      <c r="B12" s="11" t="s">
        <v>101</v>
      </c>
    </row>
    <row r="13">
      <c r="A13" s="29" t="s">
        <v>102</v>
      </c>
      <c r="B13" s="11" t="s">
        <v>103</v>
      </c>
    </row>
    <row r="14">
      <c r="A14" s="32"/>
      <c r="B14" s="11" t="s">
        <v>104</v>
      </c>
    </row>
    <row r="15">
      <c r="A15" s="29" t="s">
        <v>105</v>
      </c>
      <c r="B15" s="11" t="s">
        <v>106</v>
      </c>
    </row>
    <row r="16">
      <c r="A16" s="32"/>
      <c r="B16" s="11" t="s">
        <v>107</v>
      </c>
    </row>
    <row r="17">
      <c r="A17" s="33" t="s">
        <v>108</v>
      </c>
      <c r="B17" s="11" t="s">
        <v>109</v>
      </c>
    </row>
    <row r="18">
      <c r="A18" s="34" t="s">
        <v>110</v>
      </c>
      <c r="B18" s="11" t="s">
        <v>111</v>
      </c>
    </row>
    <row r="19">
      <c r="A19" s="29" t="s">
        <v>112</v>
      </c>
      <c r="B19" s="35"/>
    </row>
    <row r="20">
      <c r="A20" s="36"/>
    </row>
    <row r="21">
      <c r="A21" s="37" t="s">
        <v>68</v>
      </c>
      <c r="B21" s="38" t="s">
        <v>73</v>
      </c>
    </row>
    <row r="22">
      <c r="A22" s="37" t="s">
        <v>113</v>
      </c>
      <c r="B22" s="38" t="s">
        <v>70</v>
      </c>
    </row>
    <row r="23">
      <c r="A23" s="37" t="s">
        <v>113</v>
      </c>
      <c r="B23" s="38" t="s">
        <v>74</v>
      </c>
    </row>
    <row r="24">
      <c r="A24" s="37" t="s">
        <v>114</v>
      </c>
      <c r="B24" s="38" t="s">
        <v>115</v>
      </c>
    </row>
    <row r="25">
      <c r="A25" s="37" t="s">
        <v>114</v>
      </c>
      <c r="B25" s="38" t="s">
        <v>76</v>
      </c>
    </row>
    <row r="26">
      <c r="A26" s="37" t="s">
        <v>114</v>
      </c>
      <c r="B26" s="38" t="s">
        <v>116</v>
      </c>
    </row>
    <row r="27">
      <c r="A27" s="37" t="s">
        <v>114</v>
      </c>
      <c r="B27" s="38" t="s">
        <v>77</v>
      </c>
    </row>
    <row r="28">
      <c r="A28" s="37" t="s">
        <v>114</v>
      </c>
      <c r="B28" s="38" t="s">
        <v>75</v>
      </c>
    </row>
    <row r="29">
      <c r="A29" s="37" t="s">
        <v>114</v>
      </c>
      <c r="B29" s="38" t="s">
        <v>79</v>
      </c>
    </row>
    <row r="30">
      <c r="B30" s="38"/>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9" t="s">
        <v>117</v>
      </c>
      <c r="B1" s="39" t="s">
        <v>118</v>
      </c>
    </row>
    <row r="2">
      <c r="A2" s="40"/>
      <c r="B2" s="41"/>
    </row>
    <row r="3">
      <c r="A3" s="42" t="s">
        <v>119</v>
      </c>
      <c r="B3" s="42" t="s">
        <v>120</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3" t="s">
        <v>121</v>
      </c>
      <c r="B1" s="43" t="s">
        <v>122</v>
      </c>
    </row>
    <row r="2">
      <c r="A2" s="4"/>
      <c r="B2" s="4"/>
    </row>
    <row r="3">
      <c r="A3" s="4"/>
      <c r="B3" s="4"/>
    </row>
    <row r="4">
      <c r="A4" s="4"/>
      <c r="B4" s="4"/>
    </row>
    <row r="5">
      <c r="A5" s="4"/>
      <c r="B5" s="4"/>
    </row>
    <row r="6">
      <c r="A6" s="4"/>
      <c r="B6" s="4"/>
    </row>
    <row r="7">
      <c r="A7" s="4"/>
      <c r="B7" s="4"/>
    </row>
    <row r="8">
      <c r="A8" s="4"/>
      <c r="B8" s="4"/>
    </row>
    <row r="9">
      <c r="A9" s="4"/>
      <c r="B9" s="4"/>
    </row>
    <row r="10">
      <c r="A10" s="4"/>
      <c r="B10" s="4"/>
    </row>
    <row r="11">
      <c r="A11" s="4"/>
      <c r="B11" s="4"/>
    </row>
    <row r="12">
      <c r="A12" s="4"/>
      <c r="B12" s="4"/>
    </row>
    <row r="13">
      <c r="A13" s="4"/>
      <c r="B13" s="4"/>
    </row>
    <row r="14">
      <c r="A14" s="4"/>
      <c r="B14" s="4"/>
    </row>
    <row r="15">
      <c r="A15" s="4"/>
      <c r="B15" s="4"/>
    </row>
    <row r="16">
      <c r="A16" s="4"/>
      <c r="B16" s="4"/>
    </row>
    <row r="17">
      <c r="A17" s="4"/>
      <c r="B17" s="4"/>
    </row>
    <row r="18">
      <c r="A18" s="4"/>
      <c r="B18" s="4"/>
    </row>
    <row r="19">
      <c r="A19" s="4"/>
      <c r="B19" s="4"/>
    </row>
    <row r="20">
      <c r="A20" s="4"/>
      <c r="B20" s="4"/>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4" t="s">
        <v>123</v>
      </c>
      <c r="B1" s="1" t="s">
        <v>124</v>
      </c>
    </row>
    <row r="2">
      <c r="A2" s="45">
        <v>1.0</v>
      </c>
      <c r="B2" s="2" t="s">
        <v>125</v>
      </c>
    </row>
    <row r="3">
      <c r="A3" s="45">
        <f t="shared" ref="A3:A16" si="1">A2+1</f>
        <v>2</v>
      </c>
      <c r="B3" s="2" t="s">
        <v>125</v>
      </c>
    </row>
    <row r="4">
      <c r="A4" s="45">
        <f t="shared" si="1"/>
        <v>3</v>
      </c>
      <c r="B4" s="2" t="s">
        <v>125</v>
      </c>
    </row>
    <row r="5">
      <c r="A5" s="45">
        <f t="shared" si="1"/>
        <v>4</v>
      </c>
      <c r="B5" s="11" t="s">
        <v>126</v>
      </c>
    </row>
    <row r="6">
      <c r="A6" s="45">
        <f t="shared" si="1"/>
        <v>5</v>
      </c>
      <c r="B6" s="2" t="s">
        <v>127</v>
      </c>
    </row>
    <row r="7">
      <c r="A7" s="45">
        <f t="shared" si="1"/>
        <v>6</v>
      </c>
      <c r="B7" s="4"/>
    </row>
    <row r="8">
      <c r="A8" s="45">
        <f t="shared" si="1"/>
        <v>7</v>
      </c>
      <c r="B8" s="4"/>
    </row>
    <row r="9">
      <c r="A9" s="45">
        <f t="shared" si="1"/>
        <v>8</v>
      </c>
      <c r="B9" s="4"/>
    </row>
    <row r="10">
      <c r="A10" s="45">
        <f t="shared" si="1"/>
        <v>9</v>
      </c>
      <c r="B10" s="4"/>
    </row>
    <row r="11">
      <c r="A11" s="45">
        <f t="shared" si="1"/>
        <v>10</v>
      </c>
      <c r="B11" s="4"/>
    </row>
    <row r="12">
      <c r="A12" s="45">
        <f t="shared" si="1"/>
        <v>11</v>
      </c>
      <c r="B12" s="4"/>
    </row>
    <row r="13">
      <c r="A13" s="45">
        <f t="shared" si="1"/>
        <v>12</v>
      </c>
      <c r="B13" s="4"/>
    </row>
    <row r="14">
      <c r="A14" s="45">
        <f t="shared" si="1"/>
        <v>13</v>
      </c>
      <c r="B14" s="4"/>
    </row>
    <row r="15">
      <c r="A15" s="45">
        <f t="shared" si="1"/>
        <v>14</v>
      </c>
      <c r="B15" s="4"/>
    </row>
    <row r="16">
      <c r="A16" s="45">
        <f t="shared" si="1"/>
        <v>15</v>
      </c>
      <c r="B16" s="4"/>
    </row>
    <row r="17">
      <c r="A17" s="45"/>
      <c r="B17" s="4"/>
    </row>
    <row r="18">
      <c r="A18" s="45"/>
      <c r="B18" s="4"/>
    </row>
    <row r="19">
      <c r="A19" s="46"/>
      <c r="B19" s="4"/>
    </row>
    <row r="20">
      <c r="A20" s="46"/>
      <c r="B20" s="4"/>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4" t="s">
        <v>123</v>
      </c>
      <c r="B1" s="1" t="s">
        <v>128</v>
      </c>
    </row>
    <row r="2">
      <c r="A2" s="45">
        <v>1.0</v>
      </c>
      <c r="B2" s="2"/>
    </row>
    <row r="3">
      <c r="A3" s="45">
        <f t="shared" ref="A3:A16" si="1">A2+1</f>
        <v>2</v>
      </c>
      <c r="B3" s="2"/>
    </row>
    <row r="4">
      <c r="A4" s="45">
        <f t="shared" si="1"/>
        <v>3</v>
      </c>
      <c r="B4" s="2"/>
    </row>
    <row r="5">
      <c r="A5" s="45">
        <f t="shared" si="1"/>
        <v>4</v>
      </c>
    </row>
    <row r="6">
      <c r="A6" s="45">
        <f t="shared" si="1"/>
        <v>5</v>
      </c>
      <c r="B6" s="2"/>
    </row>
    <row r="7">
      <c r="A7" s="45">
        <f t="shared" si="1"/>
        <v>6</v>
      </c>
      <c r="B7" s="4"/>
    </row>
    <row r="8">
      <c r="A8" s="45">
        <f t="shared" si="1"/>
        <v>7</v>
      </c>
      <c r="B8" s="4"/>
    </row>
    <row r="9">
      <c r="A9" s="45">
        <f t="shared" si="1"/>
        <v>8</v>
      </c>
      <c r="B9" s="4"/>
    </row>
    <row r="10">
      <c r="A10" s="45">
        <f t="shared" si="1"/>
        <v>9</v>
      </c>
      <c r="B10" s="4"/>
    </row>
    <row r="11">
      <c r="A11" s="45">
        <f t="shared" si="1"/>
        <v>10</v>
      </c>
      <c r="B11" s="4"/>
    </row>
    <row r="12">
      <c r="A12" s="45">
        <f t="shared" si="1"/>
        <v>11</v>
      </c>
      <c r="B12" s="4"/>
    </row>
    <row r="13">
      <c r="A13" s="45">
        <f t="shared" si="1"/>
        <v>12</v>
      </c>
      <c r="B13" s="4"/>
    </row>
    <row r="14">
      <c r="A14" s="45">
        <f t="shared" si="1"/>
        <v>13</v>
      </c>
      <c r="B14" s="4"/>
    </row>
    <row r="15">
      <c r="A15" s="45">
        <f t="shared" si="1"/>
        <v>14</v>
      </c>
      <c r="B15" s="4"/>
    </row>
    <row r="16">
      <c r="A16" s="45">
        <f t="shared" si="1"/>
        <v>15</v>
      </c>
      <c r="B16" s="4"/>
    </row>
    <row r="17">
      <c r="A17" s="45"/>
      <c r="B17" s="4"/>
    </row>
    <row r="18">
      <c r="A18" s="45"/>
      <c r="B18" s="47" t="s">
        <v>129</v>
      </c>
    </row>
    <row r="19">
      <c r="A19" s="46"/>
      <c r="B19" s="4"/>
    </row>
    <row r="20">
      <c r="A20" s="46"/>
      <c r="B20" s="4"/>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48" t="s">
        <v>130</v>
      </c>
      <c r="B1" s="49" t="s">
        <v>131</v>
      </c>
      <c r="C1" s="50" t="s">
        <v>132</v>
      </c>
      <c r="D1" s="51" t="s">
        <v>133</v>
      </c>
      <c r="E1" s="51" t="s">
        <v>134</v>
      </c>
      <c r="F1" s="51" t="s">
        <v>135</v>
      </c>
      <c r="G1" s="51" t="s">
        <v>136</v>
      </c>
    </row>
    <row r="2">
      <c r="A2" s="52"/>
      <c r="B2" s="53"/>
      <c r="C2" s="54"/>
      <c r="D2" s="54"/>
      <c r="E2" s="54"/>
      <c r="F2" s="54"/>
      <c r="G2" s="54"/>
    </row>
    <row r="3">
      <c r="A3" s="55" t="s">
        <v>137</v>
      </c>
      <c r="B3" s="56"/>
      <c r="C3" s="57"/>
      <c r="D3" s="57"/>
      <c r="E3" s="57"/>
      <c r="F3" s="57"/>
      <c r="G3" s="57"/>
    </row>
    <row r="4">
      <c r="A4" s="52"/>
      <c r="B4" s="53"/>
      <c r="C4" s="54"/>
      <c r="D4" s="54"/>
      <c r="E4" s="54"/>
      <c r="F4" s="54"/>
      <c r="G4" s="54"/>
    </row>
    <row r="5">
      <c r="A5" s="58" t="s">
        <v>138</v>
      </c>
      <c r="B5" s="59"/>
      <c r="C5" s="60"/>
      <c r="D5" s="61">
        <f>sum(D8:D13)</f>
        <v>0</v>
      </c>
      <c r="E5" s="61">
        <f>D5</f>
        <v>0</v>
      </c>
      <c r="F5" s="60"/>
      <c r="G5" s="60"/>
    </row>
    <row r="6">
      <c r="A6" s="52"/>
      <c r="B6" s="53"/>
      <c r="C6" s="54"/>
      <c r="D6" s="54"/>
      <c r="E6" s="54"/>
      <c r="F6" s="54"/>
      <c r="G6" s="54"/>
    </row>
    <row r="7">
      <c r="A7" s="62" t="s">
        <v>139</v>
      </c>
      <c r="B7" s="63"/>
      <c r="C7" s="64"/>
      <c r="D7" s="64"/>
      <c r="E7" s="64"/>
      <c r="F7" s="64"/>
      <c r="G7" s="64"/>
    </row>
    <row r="8">
      <c r="A8" s="52"/>
      <c r="B8" s="53"/>
      <c r="C8" s="54"/>
      <c r="D8" s="54"/>
      <c r="E8" s="65" t="s">
        <v>140</v>
      </c>
      <c r="F8" s="54"/>
      <c r="G8" s="65" t="s">
        <v>141</v>
      </c>
    </row>
    <row r="9">
      <c r="A9" s="66">
        <v>1.0</v>
      </c>
      <c r="B9" s="58"/>
      <c r="C9" s="60"/>
      <c r="D9" s="61">
        <f>sum(D16:D21)</f>
        <v>0</v>
      </c>
      <c r="E9" s="61">
        <f>$D$5</f>
        <v>0</v>
      </c>
      <c r="F9" s="61">
        <f>sum(F16:F21)</f>
        <v>0</v>
      </c>
      <c r="G9" s="61">
        <f>$D$5</f>
        <v>0</v>
      </c>
    </row>
    <row r="10">
      <c r="A10" s="52">
        <f t="shared" ref="A10:A11" si="1">A9+1</f>
        <v>2</v>
      </c>
      <c r="B10" s="53"/>
      <c r="C10" s="54"/>
      <c r="D10" s="67">
        <f>sum(D22:D27)</f>
        <v>0</v>
      </c>
      <c r="E10" s="67">
        <f t="shared" ref="E10:E12" si="2">E9-D9</f>
        <v>0</v>
      </c>
      <c r="F10" s="67">
        <f>sum(F22:F27)</f>
        <v>0</v>
      </c>
      <c r="G10" s="67">
        <f t="shared" ref="G10:G12" si="3">G9-F9</f>
        <v>0</v>
      </c>
    </row>
    <row r="11">
      <c r="A11" s="66">
        <f t="shared" si="1"/>
        <v>3</v>
      </c>
      <c r="B11" s="58"/>
      <c r="C11" s="60"/>
      <c r="D11" s="61">
        <f>sum(D28:D33)</f>
        <v>0</v>
      </c>
      <c r="E11" s="61">
        <f t="shared" si="2"/>
        <v>0</v>
      </c>
      <c r="F11" s="61">
        <f>sum(F28:F33)</f>
        <v>0</v>
      </c>
      <c r="G11" s="61">
        <f t="shared" si="3"/>
        <v>0</v>
      </c>
    </row>
    <row r="12">
      <c r="A12" s="68" t="s">
        <v>5</v>
      </c>
      <c r="B12" s="69"/>
      <c r="C12" s="54"/>
      <c r="D12" s="54"/>
      <c r="E12" s="67">
        <f t="shared" si="2"/>
        <v>0</v>
      </c>
      <c r="F12" s="54"/>
      <c r="G12" s="67">
        <f t="shared" si="3"/>
        <v>0</v>
      </c>
    </row>
    <row r="13">
      <c r="A13" s="66"/>
      <c r="B13" s="58"/>
      <c r="C13" s="60"/>
      <c r="D13" s="60"/>
      <c r="E13" s="60"/>
      <c r="F13" s="60"/>
      <c r="G13" s="60"/>
    </row>
    <row r="14">
      <c r="A14" s="70" t="s">
        <v>142</v>
      </c>
      <c r="B14" s="71"/>
      <c r="C14" s="72"/>
      <c r="D14" s="72"/>
      <c r="E14" s="72"/>
      <c r="F14" s="72"/>
      <c r="G14" s="72"/>
    </row>
    <row r="15">
      <c r="A15" s="66"/>
      <c r="B15" s="58"/>
      <c r="C15" s="60"/>
      <c r="D15" s="60"/>
      <c r="E15" s="60"/>
      <c r="F15" s="60"/>
      <c r="G15" s="60"/>
    </row>
    <row r="16">
      <c r="A16" s="73">
        <f t="shared" ref="A16:B16" si="4">A9</f>
        <v>1</v>
      </c>
      <c r="B16" s="74" t="str">
        <f t="shared" si="4"/>
        <v/>
      </c>
      <c r="C16" s="54"/>
      <c r="D16" s="54"/>
      <c r="E16" s="54"/>
      <c r="F16" s="54"/>
      <c r="G16" s="54"/>
    </row>
    <row r="17">
      <c r="A17" s="66"/>
      <c r="B17" s="75"/>
      <c r="C17" s="60"/>
      <c r="D17" s="60"/>
      <c r="E17" s="60"/>
      <c r="F17" s="60"/>
      <c r="G17" s="60"/>
    </row>
    <row r="18">
      <c r="A18" s="52"/>
      <c r="B18" s="53"/>
      <c r="C18" s="69"/>
      <c r="D18" s="76"/>
      <c r="E18" s="53"/>
      <c r="F18" s="76"/>
      <c r="G18" s="53"/>
    </row>
    <row r="19">
      <c r="A19" s="66"/>
      <c r="B19" s="75"/>
      <c r="C19" s="60"/>
      <c r="D19" s="61"/>
      <c r="E19" s="60"/>
      <c r="F19" s="61"/>
      <c r="G19" s="60"/>
    </row>
    <row r="20">
      <c r="A20" s="77"/>
      <c r="B20" s="69"/>
      <c r="C20" s="69"/>
      <c r="D20" s="67"/>
      <c r="E20" s="69"/>
      <c r="F20" s="67"/>
      <c r="G20" s="69"/>
    </row>
    <row r="21">
      <c r="A21" s="66"/>
      <c r="B21" s="75"/>
      <c r="C21" s="60"/>
      <c r="D21" s="61"/>
      <c r="E21" s="60"/>
      <c r="F21" s="61"/>
      <c r="G21" s="60"/>
    </row>
    <row r="22">
      <c r="A22" s="73">
        <f t="shared" ref="A22:B22" si="5">A10</f>
        <v>2</v>
      </c>
      <c r="B22" s="74" t="str">
        <f t="shared" si="5"/>
        <v/>
      </c>
      <c r="C22" s="54"/>
      <c r="D22" s="54"/>
      <c r="E22" s="54"/>
      <c r="F22" s="54"/>
      <c r="G22" s="54"/>
    </row>
    <row r="23">
      <c r="A23" s="66"/>
      <c r="B23" s="75"/>
      <c r="C23" s="60"/>
      <c r="D23" s="60"/>
      <c r="E23" s="60"/>
      <c r="F23" s="60"/>
      <c r="G23" s="60"/>
    </row>
    <row r="24">
      <c r="A24" s="77"/>
      <c r="B24" s="69"/>
      <c r="C24" s="69"/>
      <c r="D24" s="67"/>
      <c r="E24" s="69"/>
      <c r="F24" s="67"/>
      <c r="G24" s="69"/>
    </row>
    <row r="25">
      <c r="A25" s="66"/>
      <c r="B25" s="75"/>
      <c r="C25" s="60"/>
      <c r="D25" s="61"/>
      <c r="E25" s="60"/>
      <c r="F25" s="61"/>
      <c r="G25" s="60"/>
    </row>
    <row r="26">
      <c r="A26" s="77"/>
      <c r="B26" s="69"/>
      <c r="C26" s="69"/>
      <c r="D26" s="67"/>
      <c r="E26" s="69"/>
      <c r="F26" s="67"/>
      <c r="G26" s="69"/>
    </row>
    <row r="27">
      <c r="A27" s="66"/>
      <c r="B27" s="75"/>
      <c r="C27" s="60"/>
      <c r="D27" s="61"/>
      <c r="E27" s="60"/>
      <c r="F27" s="61"/>
      <c r="G27" s="60"/>
    </row>
    <row r="28">
      <c r="A28" s="73">
        <f t="shared" ref="A28:B28" si="6">A11</f>
        <v>3</v>
      </c>
      <c r="B28" s="74" t="str">
        <f t="shared" si="6"/>
        <v/>
      </c>
      <c r="C28" s="54"/>
      <c r="D28" s="54"/>
      <c r="E28" s="54"/>
      <c r="F28" s="54"/>
      <c r="G28" s="54"/>
    </row>
    <row r="29">
      <c r="A29" s="66"/>
      <c r="B29" s="75"/>
      <c r="C29" s="60"/>
      <c r="D29" s="60"/>
      <c r="E29" s="60"/>
      <c r="F29" s="60"/>
      <c r="G29" s="60"/>
    </row>
    <row r="30">
      <c r="A30" s="77"/>
      <c r="B30" s="69"/>
      <c r="C30" s="69"/>
      <c r="D30" s="67"/>
      <c r="E30" s="69"/>
      <c r="F30" s="69"/>
      <c r="G30" s="69"/>
    </row>
    <row r="31">
      <c r="A31" s="66"/>
      <c r="B31" s="75"/>
      <c r="C31" s="60"/>
      <c r="D31" s="61"/>
      <c r="E31" s="60"/>
      <c r="F31" s="60"/>
      <c r="G31" s="60"/>
    </row>
    <row r="32">
      <c r="A32" s="77"/>
      <c r="B32" s="69"/>
      <c r="C32" s="54"/>
      <c r="D32" s="67"/>
      <c r="E32" s="69"/>
      <c r="F32" s="69"/>
      <c r="G32" s="69"/>
    </row>
    <row r="33">
      <c r="A33" s="66"/>
      <c r="B33" s="75"/>
      <c r="C33" s="78" t="s">
        <v>143</v>
      </c>
      <c r="D33" s="61"/>
      <c r="E33" s="60"/>
      <c r="F33" s="60"/>
      <c r="G33" s="60"/>
    </row>
    <row r="34">
      <c r="A34" s="77"/>
      <c r="B34" s="69"/>
      <c r="C34" s="54"/>
      <c r="D34" s="54"/>
      <c r="E34" s="54"/>
      <c r="F34" s="54"/>
      <c r="G34" s="54"/>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48" t="s">
        <v>130</v>
      </c>
      <c r="B1" s="79" t="s">
        <v>131</v>
      </c>
      <c r="C1" s="50" t="s">
        <v>132</v>
      </c>
      <c r="D1" s="51" t="s">
        <v>133</v>
      </c>
      <c r="E1" s="51" t="s">
        <v>134</v>
      </c>
      <c r="F1" s="51" t="s">
        <v>135</v>
      </c>
      <c r="G1" s="51" t="s">
        <v>136</v>
      </c>
    </row>
    <row r="2">
      <c r="A2" s="52"/>
      <c r="B2" s="54"/>
      <c r="C2" s="54"/>
      <c r="D2" s="54"/>
      <c r="E2" s="54"/>
      <c r="F2" s="54"/>
      <c r="G2" s="54"/>
    </row>
    <row r="3">
      <c r="A3" s="55" t="s">
        <v>137</v>
      </c>
      <c r="B3" s="57"/>
      <c r="C3" s="57"/>
      <c r="D3" s="57"/>
      <c r="E3" s="57"/>
      <c r="F3" s="57"/>
      <c r="G3" s="57"/>
    </row>
    <row r="4">
      <c r="A4" s="52"/>
      <c r="B4" s="54"/>
      <c r="C4" s="54"/>
      <c r="D4" s="54"/>
      <c r="E4" s="54"/>
      <c r="F4" s="54"/>
      <c r="G4" s="54"/>
    </row>
    <row r="5">
      <c r="A5" s="58" t="s">
        <v>138</v>
      </c>
      <c r="B5" s="60"/>
      <c r="C5" s="60"/>
      <c r="D5" s="61">
        <f>sum(D8:D13)</f>
        <v>0</v>
      </c>
      <c r="E5" s="61">
        <f>D5</f>
        <v>0</v>
      </c>
      <c r="F5" s="60"/>
      <c r="G5" s="60"/>
    </row>
    <row r="6">
      <c r="A6" s="52"/>
      <c r="B6" s="54"/>
      <c r="C6" s="54"/>
      <c r="D6" s="54"/>
      <c r="E6" s="54"/>
      <c r="F6" s="54"/>
      <c r="G6" s="54"/>
    </row>
    <row r="7">
      <c r="A7" s="62" t="s">
        <v>139</v>
      </c>
      <c r="B7" s="80"/>
      <c r="C7" s="64"/>
      <c r="D7" s="64"/>
      <c r="E7" s="64"/>
      <c r="F7" s="64"/>
      <c r="G7" s="64"/>
    </row>
    <row r="8">
      <c r="A8" s="52"/>
      <c r="B8" s="54"/>
      <c r="C8" s="54"/>
      <c r="D8" s="54"/>
      <c r="E8" s="65" t="s">
        <v>140</v>
      </c>
      <c r="F8" s="54"/>
      <c r="G8" s="65" t="s">
        <v>141</v>
      </c>
    </row>
    <row r="9">
      <c r="A9" s="66">
        <v>1.0</v>
      </c>
      <c r="B9" s="60"/>
      <c r="C9" s="60"/>
      <c r="D9" s="61">
        <f>sum(D16:D21)</f>
        <v>0</v>
      </c>
      <c r="E9" s="61">
        <f>$D$5</f>
        <v>0</v>
      </c>
      <c r="F9" s="61">
        <f>sum(F16:F21)</f>
        <v>0</v>
      </c>
      <c r="G9" s="61">
        <f>$D$5</f>
        <v>0</v>
      </c>
    </row>
    <row r="10">
      <c r="A10" s="52">
        <f t="shared" ref="A10:A11" si="1">A9+1</f>
        <v>2</v>
      </c>
      <c r="B10" s="54"/>
      <c r="C10" s="54"/>
      <c r="D10" s="67">
        <f>sum(D22:D27)</f>
        <v>0</v>
      </c>
      <c r="E10" s="67">
        <f t="shared" ref="E10:E12" si="2">E9-D9</f>
        <v>0</v>
      </c>
      <c r="F10" s="67">
        <f>sum(F22:F27)</f>
        <v>0</v>
      </c>
      <c r="G10" s="67">
        <f t="shared" ref="G10:G12" si="3">G9-F9</f>
        <v>0</v>
      </c>
    </row>
    <row r="11">
      <c r="A11" s="66">
        <f t="shared" si="1"/>
        <v>3</v>
      </c>
      <c r="B11" s="60"/>
      <c r="C11" s="60"/>
      <c r="D11" s="61">
        <f>sum(D28:D33)</f>
        <v>0</v>
      </c>
      <c r="E11" s="61">
        <f t="shared" si="2"/>
        <v>0</v>
      </c>
      <c r="F11" s="61">
        <f>sum(F28:F33)</f>
        <v>0</v>
      </c>
      <c r="G11" s="61">
        <f t="shared" si="3"/>
        <v>0</v>
      </c>
    </row>
    <row r="12">
      <c r="A12" s="68" t="s">
        <v>5</v>
      </c>
      <c r="B12" s="54"/>
      <c r="C12" s="54"/>
      <c r="D12" s="54"/>
      <c r="E12" s="67">
        <f t="shared" si="2"/>
        <v>0</v>
      </c>
      <c r="F12" s="54"/>
      <c r="G12" s="67">
        <f t="shared" si="3"/>
        <v>0</v>
      </c>
    </row>
    <row r="13">
      <c r="A13" s="66"/>
      <c r="B13" s="60"/>
      <c r="C13" s="60"/>
      <c r="D13" s="60"/>
      <c r="E13" s="60"/>
      <c r="F13" s="60"/>
      <c r="G13" s="60"/>
    </row>
    <row r="14">
      <c r="A14" s="70" t="s">
        <v>142</v>
      </c>
      <c r="B14" s="71"/>
      <c r="C14" s="72"/>
      <c r="D14" s="72"/>
      <c r="E14" s="72"/>
      <c r="F14" s="72"/>
      <c r="G14" s="72"/>
    </row>
    <row r="15">
      <c r="A15" s="66"/>
      <c r="B15" s="60"/>
      <c r="C15" s="60"/>
      <c r="D15" s="60"/>
      <c r="E15" s="60"/>
      <c r="F15" s="60"/>
      <c r="G15" s="60"/>
    </row>
    <row r="16">
      <c r="A16" s="73">
        <f>A9</f>
        <v>1</v>
      </c>
      <c r="B16" s="54"/>
      <c r="C16" s="54"/>
      <c r="D16" s="54"/>
      <c r="E16" s="54"/>
      <c r="F16" s="54"/>
      <c r="G16" s="54"/>
    </row>
    <row r="17">
      <c r="A17" s="66"/>
      <c r="B17" s="75"/>
      <c r="C17" s="60"/>
      <c r="D17" s="60"/>
      <c r="E17" s="60"/>
      <c r="F17" s="60"/>
      <c r="G17" s="60"/>
    </row>
    <row r="18">
      <c r="A18" s="52"/>
      <c r="B18" s="81"/>
      <c r="C18" s="69"/>
      <c r="D18" s="76"/>
      <c r="E18" s="53"/>
      <c r="F18" s="76"/>
      <c r="G18" s="53"/>
    </row>
    <row r="19">
      <c r="A19" s="66"/>
      <c r="B19" s="60"/>
      <c r="C19" s="60"/>
      <c r="D19" s="61"/>
      <c r="E19" s="60"/>
      <c r="F19" s="61"/>
      <c r="G19" s="60"/>
    </row>
    <row r="20">
      <c r="A20" s="77"/>
      <c r="B20" s="54"/>
      <c r="C20" s="69"/>
      <c r="D20" s="67"/>
      <c r="E20" s="69"/>
      <c r="F20" s="67"/>
      <c r="G20" s="69"/>
    </row>
    <row r="21">
      <c r="A21" s="66"/>
      <c r="B21" s="60"/>
      <c r="C21" s="60"/>
      <c r="D21" s="61"/>
      <c r="E21" s="60"/>
      <c r="F21" s="61"/>
      <c r="G21" s="60"/>
    </row>
    <row r="22">
      <c r="A22" s="73">
        <f>A10</f>
        <v>2</v>
      </c>
      <c r="B22" s="54"/>
      <c r="C22" s="54"/>
      <c r="D22" s="54"/>
      <c r="E22" s="54"/>
      <c r="F22" s="54"/>
      <c r="G22" s="54"/>
    </row>
    <row r="23">
      <c r="A23" s="66"/>
      <c r="B23" s="75"/>
      <c r="C23" s="60"/>
      <c r="D23" s="60"/>
      <c r="E23" s="60"/>
      <c r="F23" s="60"/>
      <c r="G23" s="60"/>
    </row>
    <row r="24">
      <c r="A24" s="77"/>
      <c r="B24" s="54"/>
      <c r="C24" s="69"/>
      <c r="D24" s="67"/>
      <c r="E24" s="69"/>
      <c r="F24" s="67"/>
      <c r="G24" s="69"/>
    </row>
    <row r="25">
      <c r="A25" s="66"/>
      <c r="B25" s="60"/>
      <c r="C25" s="60"/>
      <c r="D25" s="61"/>
      <c r="E25" s="60"/>
      <c r="F25" s="61"/>
      <c r="G25" s="60"/>
    </row>
    <row r="26">
      <c r="A26" s="77"/>
      <c r="B26" s="54"/>
      <c r="C26" s="69"/>
      <c r="D26" s="67"/>
      <c r="E26" s="69"/>
      <c r="F26" s="67"/>
      <c r="G26" s="69"/>
    </row>
    <row r="27">
      <c r="A27" s="66"/>
      <c r="B27" s="60"/>
      <c r="C27" s="60"/>
      <c r="D27" s="61"/>
      <c r="E27" s="60"/>
      <c r="F27" s="61"/>
      <c r="G27" s="60"/>
    </row>
    <row r="28">
      <c r="A28" s="73">
        <f>A11</f>
        <v>3</v>
      </c>
      <c r="B28" s="54"/>
      <c r="C28" s="54"/>
      <c r="D28" s="54"/>
      <c r="E28" s="54"/>
      <c r="F28" s="54"/>
      <c r="G28" s="54"/>
    </row>
    <row r="29">
      <c r="A29" s="66"/>
      <c r="B29" s="75"/>
      <c r="C29" s="60"/>
      <c r="D29" s="60"/>
      <c r="E29" s="60"/>
      <c r="F29" s="60"/>
      <c r="G29" s="60"/>
    </row>
    <row r="30">
      <c r="A30" s="77"/>
      <c r="B30" s="54"/>
      <c r="C30" s="69"/>
      <c r="D30" s="67"/>
      <c r="E30" s="69"/>
      <c r="F30" s="69"/>
      <c r="G30" s="69"/>
    </row>
    <row r="31">
      <c r="A31" s="66"/>
      <c r="B31" s="60"/>
      <c r="C31" s="60"/>
      <c r="D31" s="61"/>
      <c r="E31" s="60"/>
      <c r="F31" s="60"/>
      <c r="G31" s="60"/>
    </row>
    <row r="32">
      <c r="A32" s="77"/>
      <c r="B32" s="54"/>
      <c r="C32" s="54"/>
      <c r="D32" s="67"/>
      <c r="E32" s="69"/>
      <c r="F32" s="69"/>
      <c r="G32" s="69"/>
    </row>
    <row r="33">
      <c r="A33" s="66"/>
      <c r="B33" s="60"/>
      <c r="C33" s="78" t="s">
        <v>143</v>
      </c>
      <c r="D33" s="61"/>
      <c r="E33" s="60"/>
      <c r="F33" s="60"/>
      <c r="G33" s="60"/>
    </row>
    <row r="34">
      <c r="A34" s="77"/>
      <c r="B34" s="54"/>
      <c r="C34" s="54"/>
      <c r="D34" s="54"/>
      <c r="E34" s="54"/>
      <c r="F34" s="54"/>
      <c r="G34" s="54"/>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82" t="s">
        <v>62</v>
      </c>
      <c r="B1" s="49" t="s">
        <v>144</v>
      </c>
      <c r="C1" s="49" t="s">
        <v>145</v>
      </c>
      <c r="D1" s="83" t="s">
        <v>146</v>
      </c>
    </row>
    <row r="2">
      <c r="A2" s="4"/>
      <c r="B2" s="4"/>
      <c r="C2" s="4"/>
      <c r="D2" s="4"/>
    </row>
    <row r="3">
      <c r="A3" s="4"/>
      <c r="B3" s="4"/>
      <c r="C3" s="4"/>
      <c r="D3" s="4"/>
    </row>
    <row r="4">
      <c r="A4" s="4"/>
      <c r="B4" s="4"/>
      <c r="C4" s="4"/>
      <c r="D4" s="4"/>
    </row>
    <row r="5">
      <c r="A5" s="4"/>
      <c r="B5" s="4"/>
      <c r="C5" s="4"/>
      <c r="D5" s="4"/>
    </row>
    <row r="6">
      <c r="A6" s="4"/>
      <c r="B6" s="4"/>
      <c r="C6" s="4"/>
      <c r="D6" s="4"/>
    </row>
    <row r="7">
      <c r="A7" s="4"/>
      <c r="B7" s="4"/>
      <c r="C7" s="4"/>
      <c r="D7" s="4"/>
    </row>
    <row r="8">
      <c r="A8" s="4"/>
      <c r="B8" s="4"/>
      <c r="C8" s="4"/>
      <c r="D8" s="4"/>
    </row>
    <row r="9">
      <c r="A9" s="4"/>
      <c r="B9" s="4"/>
      <c r="C9" s="4"/>
      <c r="D9" s="4"/>
    </row>
    <row r="10">
      <c r="A10" s="4"/>
      <c r="B10" s="4"/>
      <c r="C10" s="4"/>
      <c r="D10" s="4"/>
    </row>
    <row r="11">
      <c r="A11" s="4"/>
      <c r="B11" s="4"/>
      <c r="C11" s="4"/>
      <c r="D11" s="4"/>
    </row>
    <row r="12">
      <c r="A12" s="4"/>
      <c r="B12" s="4"/>
      <c r="C12" s="4"/>
      <c r="D12" s="4"/>
    </row>
    <row r="13">
      <c r="A13" s="4"/>
      <c r="B13" s="4"/>
      <c r="C13" s="4"/>
      <c r="D13" s="4"/>
    </row>
    <row r="14">
      <c r="A14" s="4"/>
      <c r="B14" s="4"/>
      <c r="C14" s="4"/>
      <c r="D14" s="4"/>
    </row>
    <row r="15">
      <c r="A15" s="4"/>
      <c r="B15" s="4"/>
      <c r="C15" s="4"/>
      <c r="D15" s="4"/>
    </row>
    <row r="16">
      <c r="A16" s="4"/>
      <c r="B16" s="4"/>
      <c r="C16" s="4"/>
      <c r="D16" s="4"/>
    </row>
    <row r="17">
      <c r="A17" s="4"/>
      <c r="B17" s="4"/>
      <c r="C17" s="4"/>
      <c r="D17" s="4"/>
    </row>
    <row r="18">
      <c r="A18" s="4"/>
      <c r="B18" s="4"/>
      <c r="C18" s="4"/>
      <c r="D18" s="4"/>
    </row>
    <row r="19">
      <c r="A19" s="4"/>
      <c r="B19" s="4"/>
      <c r="C19" s="4"/>
      <c r="D19" s="4"/>
    </row>
    <row r="20">
      <c r="A20" s="4"/>
      <c r="B20" s="4"/>
      <c r="C20" s="4"/>
      <c r="D20" s="4"/>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147</v>
      </c>
      <c r="B1" s="1" t="s">
        <v>148</v>
      </c>
    </row>
    <row r="2">
      <c r="A2" s="4"/>
      <c r="B2" s="4"/>
    </row>
    <row r="3">
      <c r="A3" s="4"/>
      <c r="B3" s="4"/>
    </row>
    <row r="4">
      <c r="A4" s="4"/>
      <c r="B4" s="4"/>
    </row>
    <row r="5">
      <c r="A5" s="4"/>
      <c r="B5" s="4"/>
    </row>
    <row r="6">
      <c r="A6" s="4"/>
      <c r="B6" s="4"/>
    </row>
    <row r="7">
      <c r="A7" s="4"/>
      <c r="B7" s="4"/>
    </row>
    <row r="8">
      <c r="A8" s="4"/>
      <c r="B8" s="4"/>
    </row>
    <row r="9">
      <c r="A9" s="4"/>
      <c r="B9" s="4"/>
    </row>
    <row r="10">
      <c r="A10" s="4"/>
      <c r="B10" s="4"/>
    </row>
    <row r="11">
      <c r="A11" s="4"/>
      <c r="B11" s="4"/>
    </row>
    <row r="12">
      <c r="A12" s="4"/>
      <c r="B12" s="4"/>
    </row>
    <row r="13">
      <c r="A13" s="4"/>
      <c r="B13" s="4"/>
    </row>
    <row r="14">
      <c r="A14" s="4"/>
      <c r="B14" s="4"/>
    </row>
    <row r="15">
      <c r="A15" s="4"/>
      <c r="B15" s="4"/>
    </row>
    <row r="16">
      <c r="A16" s="4"/>
      <c r="B16" s="4"/>
    </row>
    <row r="17">
      <c r="A17" s="4"/>
      <c r="B17" s="4"/>
    </row>
    <row r="18">
      <c r="A18" s="4"/>
      <c r="B18" s="4"/>
    </row>
    <row r="19">
      <c r="A19" s="4"/>
      <c r="B19" s="4"/>
    </row>
    <row r="20">
      <c r="A20" s="4"/>
      <c r="B20" s="4"/>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12.63"/>
    <col customWidth="1" min="6" max="6" width="37.63"/>
  </cols>
  <sheetData>
    <row r="1">
      <c r="A1" s="9" t="s">
        <v>62</v>
      </c>
      <c r="B1" s="1" t="s">
        <v>149</v>
      </c>
      <c r="C1" s="1" t="s">
        <v>150</v>
      </c>
      <c r="D1" s="1" t="s">
        <v>151</v>
      </c>
      <c r="E1" s="1" t="s">
        <v>152</v>
      </c>
      <c r="F1" s="1" t="s">
        <v>69</v>
      </c>
    </row>
    <row r="2">
      <c r="A2" s="4"/>
      <c r="B2" s="4"/>
      <c r="C2" s="4"/>
      <c r="D2" s="4"/>
      <c r="E2" s="4"/>
      <c r="F2" s="4"/>
    </row>
    <row r="3">
      <c r="A3" s="4"/>
      <c r="B3" s="4"/>
      <c r="C3" s="4"/>
      <c r="D3" s="4"/>
      <c r="E3" s="4"/>
      <c r="F3" s="4"/>
    </row>
    <row r="4">
      <c r="A4" s="4"/>
      <c r="B4" s="4"/>
      <c r="C4" s="4"/>
      <c r="D4" s="4"/>
      <c r="E4" s="4"/>
      <c r="F4" s="4"/>
    </row>
    <row r="5">
      <c r="A5" s="4"/>
      <c r="B5" s="4"/>
      <c r="C5" s="4"/>
      <c r="D5" s="4"/>
      <c r="E5" s="4"/>
      <c r="F5" s="4"/>
    </row>
    <row r="6">
      <c r="A6" s="4"/>
      <c r="B6" s="4"/>
      <c r="C6" s="4"/>
      <c r="D6" s="4"/>
      <c r="E6" s="4"/>
      <c r="F6" s="4"/>
    </row>
    <row r="7">
      <c r="A7" s="4"/>
      <c r="B7" s="4"/>
      <c r="C7" s="4"/>
      <c r="D7" s="4"/>
      <c r="E7" s="4"/>
      <c r="F7" s="4"/>
    </row>
    <row r="8">
      <c r="A8" s="4"/>
      <c r="B8" s="4"/>
      <c r="C8" s="4"/>
      <c r="D8" s="4"/>
      <c r="E8" s="4"/>
      <c r="F8" s="4"/>
    </row>
    <row r="9">
      <c r="A9" s="4"/>
      <c r="B9" s="4"/>
      <c r="C9" s="4"/>
      <c r="D9" s="4"/>
      <c r="E9" s="4"/>
      <c r="F9" s="4"/>
    </row>
    <row r="10">
      <c r="A10" s="4"/>
      <c r="B10" s="4"/>
      <c r="C10" s="4"/>
      <c r="D10" s="4"/>
      <c r="E10" s="4"/>
      <c r="F10" s="4"/>
    </row>
    <row r="11">
      <c r="A11" s="4"/>
      <c r="B11" s="4"/>
      <c r="C11" s="4"/>
      <c r="D11" s="4"/>
      <c r="E11" s="4"/>
      <c r="F11" s="4"/>
    </row>
    <row r="12">
      <c r="A12" s="4"/>
      <c r="B12" s="4"/>
      <c r="C12" s="4"/>
      <c r="D12" s="4"/>
      <c r="E12" s="4"/>
      <c r="F12" s="4"/>
    </row>
    <row r="13">
      <c r="A13" s="4"/>
      <c r="B13" s="4"/>
      <c r="C13" s="4"/>
      <c r="D13" s="4"/>
      <c r="E13" s="4"/>
      <c r="F13" s="4"/>
    </row>
    <row r="14">
      <c r="A14" s="4"/>
      <c r="B14" s="4"/>
      <c r="C14" s="4"/>
      <c r="D14" s="4"/>
      <c r="E14" s="4"/>
      <c r="F14" s="4"/>
    </row>
    <row r="15">
      <c r="A15" s="4"/>
      <c r="B15" s="4"/>
      <c r="C15" s="4"/>
      <c r="D15" s="4"/>
      <c r="E15" s="4"/>
      <c r="F15" s="4"/>
    </row>
    <row r="16">
      <c r="A16" s="4"/>
      <c r="B16" s="4"/>
      <c r="C16" s="4"/>
      <c r="D16" s="4"/>
      <c r="E16" s="4"/>
      <c r="F16" s="4"/>
    </row>
    <row r="17">
      <c r="A17" s="4"/>
      <c r="B17" s="4"/>
      <c r="C17" s="4"/>
      <c r="D17" s="4"/>
      <c r="E17" s="4"/>
      <c r="F17" s="4"/>
    </row>
    <row r="18">
      <c r="A18" s="4"/>
      <c r="B18" s="4"/>
      <c r="C18" s="4"/>
      <c r="D18" s="4"/>
      <c r="E18" s="4"/>
      <c r="F18" s="4"/>
    </row>
    <row r="19">
      <c r="A19" s="4"/>
      <c r="B19" s="4"/>
      <c r="C19" s="4"/>
      <c r="D19" s="4"/>
      <c r="E19" s="4"/>
      <c r="F19" s="4"/>
    </row>
    <row r="20">
      <c r="A20" s="4"/>
      <c r="B20" s="4"/>
      <c r="C20" s="4"/>
      <c r="D20" s="4"/>
      <c r="E20" s="4"/>
      <c r="F20" s="4"/>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84" t="str">
        <f>'Project Team'!A1</f>
        <v>Last Name</v>
      </c>
      <c r="B1" s="84" t="str">
        <f>'Project Team'!B1</f>
        <v>First Name</v>
      </c>
      <c r="C1" s="85" t="s">
        <v>153</v>
      </c>
      <c r="D1" s="86"/>
      <c r="E1" s="87"/>
      <c r="F1" s="88"/>
      <c r="G1" s="89"/>
      <c r="H1" s="89"/>
    </row>
    <row r="2">
      <c r="A2" s="90" t="str">
        <f>'Project Team'!A9</f>
        <v>Reinel</v>
      </c>
      <c r="B2" s="90" t="str">
        <f>'Project Team'!B9</f>
        <v>Moritz</v>
      </c>
      <c r="C2" s="91">
        <v>0.0</v>
      </c>
      <c r="D2" s="92"/>
      <c r="E2" s="93">
        <f>average(C2:C10)</f>
        <v>0</v>
      </c>
      <c r="F2" s="94" t="str">
        <f>if(stdev(C2:C7) &gt; 0,"NOK", "OK")</f>
        <v>OK</v>
      </c>
      <c r="G2" s="95"/>
      <c r="H2" s="95"/>
    </row>
    <row r="3">
      <c r="A3" s="96" t="str">
        <f>'Project Team'!A2</f>
        <v>Richter</v>
      </c>
      <c r="B3" s="96" t="str">
        <f>'Project Team'!B2</f>
        <v>Miriam</v>
      </c>
      <c r="C3" s="91">
        <v>0.0</v>
      </c>
      <c r="D3" s="97"/>
      <c r="G3" s="98"/>
      <c r="H3" s="98"/>
    </row>
    <row r="4">
      <c r="A4" s="90" t="str">
        <f>'Project Team'!A3</f>
        <v>Meligy</v>
      </c>
      <c r="B4" s="90" t="str">
        <f>'Project Team'!B3</f>
        <v>Ziad</v>
      </c>
      <c r="C4" s="99"/>
      <c r="D4" s="92"/>
      <c r="G4" s="95"/>
      <c r="H4" s="95"/>
    </row>
    <row r="5">
      <c r="A5" s="96" t="str">
        <f>'Project Team'!A5</f>
        <v>Neubauer</v>
      </c>
      <c r="B5" s="96" t="str">
        <f>'Project Team'!B5</f>
        <v>Robin</v>
      </c>
      <c r="C5" s="100"/>
      <c r="D5" s="101"/>
      <c r="E5" s="101"/>
      <c r="F5" s="101"/>
      <c r="G5" s="98"/>
      <c r="H5" s="98"/>
    </row>
    <row r="6">
      <c r="A6" s="90" t="str">
        <f>'Project Team'!A6</f>
        <v>Zink</v>
      </c>
      <c r="B6" s="90" t="str">
        <f>'Project Team'!B6</f>
        <v>Nina</v>
      </c>
      <c r="C6" s="99"/>
      <c r="D6" s="102"/>
      <c r="E6" s="103">
        <v>0.0</v>
      </c>
      <c r="F6" s="104" t="s">
        <v>154</v>
      </c>
      <c r="G6" s="95"/>
      <c r="H6" s="95"/>
    </row>
    <row r="7">
      <c r="A7" s="96" t="str">
        <f>'Project Team'!A7</f>
        <v>Cekic</v>
      </c>
      <c r="B7" s="96" t="str">
        <f>'Project Team'!B7</f>
        <v>Erman</v>
      </c>
      <c r="C7" s="99"/>
      <c r="D7" s="101"/>
      <c r="E7" s="103">
        <v>1.0</v>
      </c>
      <c r="F7" s="104" t="s">
        <v>155</v>
      </c>
      <c r="G7" s="98"/>
      <c r="H7" s="98"/>
    </row>
    <row r="8">
      <c r="A8" s="90" t="str">
        <f>'Project Team'!A8</f>
        <v>Pfahlmann</v>
      </c>
      <c r="B8" s="90" t="str">
        <f>'Project Team'!B8</f>
        <v>Fabian</v>
      </c>
      <c r="C8" s="100"/>
      <c r="D8" s="102"/>
      <c r="E8" s="103">
        <v>2.0</v>
      </c>
      <c r="F8" s="104" t="s">
        <v>156</v>
      </c>
      <c r="G8" s="95"/>
      <c r="H8" s="95"/>
    </row>
    <row r="9">
      <c r="A9" s="96" t="str">
        <f>'Project Team'!A4</f>
        <v>Tasken</v>
      </c>
      <c r="B9" s="96" t="str">
        <f>'Project Team'!B4</f>
        <v>Eren</v>
      </c>
      <c r="C9" s="100"/>
      <c r="D9" s="101"/>
      <c r="E9" s="103">
        <v>3.0</v>
      </c>
      <c r="F9" s="104" t="s">
        <v>157</v>
      </c>
      <c r="G9" s="98"/>
      <c r="H9" s="98"/>
    </row>
    <row r="10">
      <c r="A10" s="90" t="str">
        <f>'Project Team'!A10</f>
        <v>Adas</v>
      </c>
      <c r="B10" s="90" t="str">
        <f>'Project Team'!B10</f>
        <v>Munir</v>
      </c>
      <c r="C10" s="100"/>
      <c r="D10" s="102"/>
      <c r="E10" s="103">
        <v>5.0</v>
      </c>
      <c r="F10" s="104" t="s">
        <v>158</v>
      </c>
      <c r="G10" s="95"/>
      <c r="H10" s="95"/>
    </row>
    <row r="11">
      <c r="A11" s="96"/>
      <c r="B11" s="96"/>
      <c r="C11" s="99"/>
      <c r="D11" s="101"/>
      <c r="E11" s="103">
        <v>8.0</v>
      </c>
      <c r="F11" s="104" t="s">
        <v>159</v>
      </c>
      <c r="G11" s="98"/>
      <c r="H11" s="98"/>
    </row>
    <row r="12">
      <c r="A12" s="90"/>
      <c r="B12" s="90"/>
      <c r="C12" s="99"/>
      <c r="D12" s="102"/>
      <c r="E12" s="103">
        <v>13.0</v>
      </c>
      <c r="F12" s="104" t="s">
        <v>160</v>
      </c>
      <c r="G12" s="95"/>
      <c r="H12" s="95"/>
    </row>
    <row r="13">
      <c r="A13" s="96"/>
      <c r="B13" s="96"/>
      <c r="C13" s="101"/>
      <c r="D13" s="101"/>
      <c r="E13" s="101"/>
      <c r="F13" s="101"/>
      <c r="G13" s="98"/>
      <c r="H13" s="98"/>
    </row>
    <row r="14">
      <c r="A14" s="105" t="s">
        <v>161</v>
      </c>
      <c r="B14" s="106"/>
      <c r="C14" s="106"/>
      <c r="D14" s="106"/>
      <c r="E14" s="106"/>
      <c r="F14" s="106"/>
      <c r="G14" s="106"/>
      <c r="H14" s="106"/>
    </row>
    <row r="15">
      <c r="A15" s="107"/>
      <c r="B15" s="107"/>
      <c r="C15" s="107"/>
      <c r="D15" s="107"/>
      <c r="E15" s="107"/>
      <c r="F15" s="107"/>
      <c r="G15" s="107"/>
      <c r="H15" s="107"/>
    </row>
    <row r="16">
      <c r="A16" s="108" t="s">
        <v>162</v>
      </c>
      <c r="B16" s="109"/>
      <c r="C16" s="109"/>
      <c r="D16" s="109"/>
      <c r="E16" s="109"/>
      <c r="F16" s="109"/>
      <c r="G16" s="109"/>
      <c r="H16" s="109"/>
    </row>
    <row r="17">
      <c r="A17" s="110" t="s">
        <v>163</v>
      </c>
      <c r="B17" s="107"/>
      <c r="C17" s="107"/>
      <c r="D17" s="107"/>
      <c r="E17" s="107"/>
      <c r="F17" s="107"/>
      <c r="G17" s="107"/>
      <c r="H17" s="107"/>
    </row>
    <row r="18">
      <c r="A18" s="108" t="s">
        <v>164</v>
      </c>
      <c r="B18" s="109"/>
      <c r="C18" s="109"/>
      <c r="D18" s="109"/>
      <c r="E18" s="109"/>
      <c r="F18" s="109"/>
      <c r="G18" s="109"/>
      <c r="H18" s="109"/>
    </row>
    <row r="19">
      <c r="A19" s="107"/>
      <c r="B19" s="107"/>
      <c r="C19" s="107"/>
      <c r="D19" s="107"/>
      <c r="E19" s="107"/>
      <c r="F19" s="107"/>
      <c r="G19" s="107"/>
      <c r="H19" s="107"/>
    </row>
    <row r="20">
      <c r="A20" s="109"/>
      <c r="B20" s="109"/>
      <c r="C20" s="109"/>
      <c r="D20" s="109"/>
      <c r="E20" s="109"/>
      <c r="F20" s="109"/>
      <c r="G20" s="109"/>
      <c r="H20" s="109"/>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
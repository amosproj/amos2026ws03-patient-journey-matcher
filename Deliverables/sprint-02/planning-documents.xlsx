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<sst xmlns="http://schemas.openxmlformats.org/spreadsheetml/2006/main" count="349" uniqueCount="224">
  <si>
    <t>Project</t>
  </si>
  <si>
    <t>AIlixir Patient Journey Matcher</t>
  </si>
  <si>
    <t>Online team meeting</t>
  </si>
  <si>
    <t>https://fau.zoom-x.de/j/63814190741?pwd=IqXz0xbIrMCk01I1RENueDyarj9E34.1</t>
  </si>
  <si>
    <t>Production system (if any)</t>
  </si>
  <si>
    <t>...</t>
  </si>
  <si>
    <t>Test system (if any)</t>
  </si>
  <si>
    <t>GitHub repository</t>
  </si>
  <si>
    <t>https://github.com/amosproj/amos2026ws03-patient-journey-matcher</t>
  </si>
  <si>
    <t>GitHub feature board</t>
  </si>
  <si>
    <t>https://github.com/orgs/amosproj/projects/111</t>
  </si>
  <si>
    <t>GitHub imp-squared backlog</t>
  </si>
  <si>
    <t>https://github.com/orgs/amosproj/projects/115</t>
  </si>
  <si>
    <t>Position of T-shirt logo</t>
  </si>
  <si>
    <t>Upper Torso Right Small</t>
  </si>
  <si>
    <t>Link to logo for black T-shirt</t>
  </si>
  <si>
    <t>https://github.com/amosproj/amos2026ws03-patient-journey-matcher/blob/main/Deliverables/sprint-01/team-logo.png</t>
  </si>
  <si>
    <t>Link to logo for white T-shirt</t>
  </si>
  <si>
    <t>Additional materials</t>
  </si>
  <si>
    <t>Miro board</t>
  </si>
  <si>
    <t>https://miro.com/app/board/uXjVEX49SL0=/</t>
  </si>
  <si>
    <t>Team mailing list</t>
  </si>
  <si>
    <t>oss-amos-proj3@lists.fau.de</t>
  </si>
  <si>
    <t>Last Name</t>
  </si>
  <si>
    <t>First Name</t>
  </si>
  <si>
    <t>GitHub User Name</t>
  </si>
  <si>
    <t>Email Address</t>
  </si>
  <si>
    <t>Richter</t>
  </si>
  <si>
    <t>Miriam</t>
  </si>
  <si>
    <t>miri-ri</t>
  </si>
  <si>
    <t>miriam.richter@campus.tu-berlin.de</t>
  </si>
  <si>
    <t>Meligy</t>
  </si>
  <si>
    <t>Ziad</t>
  </si>
  <si>
    <t>ZiadMeligy</t>
  </si>
  <si>
    <t>ziad.meligy.abdelghany@fau.de</t>
  </si>
  <si>
    <t>Tasken</t>
  </si>
  <si>
    <t>Eren</t>
  </si>
  <si>
    <t>erentasken</t>
  </si>
  <si>
    <t>eren.tasken@fau.de</t>
  </si>
  <si>
    <t>Neubauer</t>
  </si>
  <si>
    <t>Robin</t>
  </si>
  <si>
    <t>robin38n</t>
  </si>
  <si>
    <t>robin.neubauer@fau.de</t>
  </si>
  <si>
    <t>Zink</t>
  </si>
  <si>
    <t>Nina</t>
  </si>
  <si>
    <t>nizi0015</t>
  </si>
  <si>
    <t>nina-sophie.zink@fau.de</t>
  </si>
  <si>
    <t>Cekic</t>
  </si>
  <si>
    <t>Erman</t>
  </si>
  <si>
    <t>ermancekic</t>
  </si>
  <si>
    <t>erman.cekic@fau.de</t>
  </si>
  <si>
    <t>Pfahlmann</t>
  </si>
  <si>
    <t>Fabian</t>
  </si>
  <si>
    <t>Chronuak</t>
  </si>
  <si>
    <t>fabian.jannik.pfahlmann@fau.de</t>
  </si>
  <si>
    <t>Reinel</t>
  </si>
  <si>
    <t>Moritz</t>
  </si>
  <si>
    <t>moritz-reinel</t>
  </si>
  <si>
    <t>mo.ritz@fau.de</t>
  </si>
  <si>
    <t>Adas</t>
  </si>
  <si>
    <t>Munir</t>
  </si>
  <si>
    <t>Munirad7s</t>
  </si>
  <si>
    <t>munir.adas@fau.de</t>
  </si>
  <si>
    <t>Product Owner</t>
  </si>
  <si>
    <t>#</t>
  </si>
  <si>
    <t>Meeting Day</t>
  </si>
  <si>
    <t>Review</t>
  </si>
  <si>
    <t>Planning</t>
  </si>
  <si>
    <t>Software Developer</t>
  </si>
  <si>
    <t>Release Manager</t>
  </si>
  <si>
    <t>Scrum Master</t>
  </si>
  <si>
    <t>Comment</t>
  </si>
  <si>
    <t>Fabian Pfahlmann</t>
  </si>
  <si>
    <t>Everyone else</t>
  </si>
  <si>
    <t>N/A</t>
  </si>
  <si>
    <t>Moritz Reinel</t>
  </si>
  <si>
    <t>Miriam Richter</t>
  </si>
  <si>
    <t>Robin Neubauer</t>
  </si>
  <si>
    <t>Ziad Meligy</t>
  </si>
  <si>
    <t>Eren Tasken</t>
  </si>
  <si>
    <t>Build process review</t>
  </si>
  <si>
    <t>Nina Zink</t>
  </si>
  <si>
    <t>Mid-term due</t>
  </si>
  <si>
    <t>Erman cekic</t>
  </si>
  <si>
    <t>Demo day!</t>
  </si>
  <si>
    <t>Retrospective</t>
  </si>
  <si>
    <t>Product owners, software developers, and Scurm Master are set and ideally don't change over time; the critical part is the Release Manager role you need to define here</t>
  </si>
  <si>
    <t>Goals</t>
  </si>
  <si>
    <t>The team aims to meet all of the teaching team's requirements, meet all deadlines on time, and deliver a high-quality open-source MCP server that provides tangible added value for AIlixir.</t>
  </si>
  <si>
    <t>Every team member will actively expand their technical or organizational skills while fostering a supportive and psychologically safe working environment.</t>
  </si>
  <si>
    <t>Meeting norms</t>
  </si>
  <si>
    <t>Team members shall arrive on time for all scheduled meetings.</t>
  </si>
  <si>
    <t>Team members shall keep their video cameras turned on during online meetings to facilitate engaged, face-to-face collaboration.</t>
  </si>
  <si>
    <t>In case of unavoidable absence, members will inform the team on Slack and notify the team and teaching team via email as early as possible.</t>
  </si>
  <si>
    <t>Working norms</t>
  </si>
  <si>
    <t>High-quality code documentation should be provided, including graphical documentation and, for example, UML diagrams.</t>
  </si>
  <si>
    <t>For the purpose of repository hygiene, there should be separate feature branches, and at least one reviewer (depending on the number of authors or the scope of the feature) for each feature merge. Direct pushing or force-pushing to the main branch is strictly prohibited, and all pull requests require at least one peer approval and must pass CI checks.</t>
  </si>
  <si>
    <t>Team members may use AI assistance, but every author shall be capable of explaining their committed code line-by-line ("No AI slop").</t>
  </si>
  <si>
    <t>Coordination norms</t>
  </si>
  <si>
    <t>Team members shall distribute tasks fairly and transparently across the team during sprint planning.</t>
  </si>
  <si>
    <t>Team members shall continuously update the status of their work items on the GitHub Project Board to maintain visibility</t>
  </si>
  <si>
    <t>Communication norms</t>
  </si>
  <si>
    <t>Asynchronous communication will take place on Slack. Members shall communicate their availability during the sprint in advance.</t>
  </si>
  <si>
    <t>Members shall respond to Slack messages within 12–24 hours on working days (same-day response), and faster leading up to major project deadlines.</t>
  </si>
  <si>
    <t>Consideration norms</t>
  </si>
  <si>
    <t>Team members shall provide constructive and polite feedback during code reviews and respect diverse opinions.</t>
  </si>
  <si>
    <t>Members shall communicate mistakes early and transparently without fear of judgment.</t>
  </si>
  <si>
    <t>Cont. improvement norms</t>
  </si>
  <si>
    <t>The team shall actively participate in sprint retrospectives, providing honest input to improve team processes.</t>
  </si>
  <si>
    <t>Team members shall maintain clean inline code documentation and graphical/UML diagrams to ensure continuous knowledge sharing.</t>
  </si>
  <si>
    <t>Rewards</t>
  </si>
  <si>
    <t>Upon successfully completing milestones, the team will celebrate together with a shared team drink (virtually or in person).</t>
  </si>
  <si>
    <t>Sanctions</t>
  </si>
  <si>
    <t>Unexcused tardiness to meetings or unannounced missed deadlines shall be sanctioned with 5 to 20 jumping jacks (scaled by delay) at the start of the next team meeting.</t>
  </si>
  <si>
    <t>Signatures</t>
  </si>
  <si>
    <t>Product owner</t>
  </si>
  <si>
    <t>Software developer</t>
  </si>
  <si>
    <t>Mohamad Munir Adas</t>
  </si>
  <si>
    <t>Erman Cekic</t>
  </si>
  <si>
    <t>Product Vision</t>
  </si>
  <si>
    <t>Project Mission</t>
  </si>
  <si>
    <t>An open-source, AI-enabled healthcare integration layer that matches personal health journeys with relevant, qualitative medical insights, helping patients better understand, track and navigate their individual condition.</t>
  </si>
  <si>
    <t>To design and implement a Model Context Protocol (MCP) server for the mobile AIlixir application that matches synthetic patient journeys with qualitative sources (PubMed, podcasts, literature) using keyword, graph, and LLM-based summarization to deliver clear information back to the patient.</t>
  </si>
  <si>
    <t>Term</t>
  </si>
  <si>
    <t>Definition</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</si>
  <si>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</si>
  <si>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</si>
  <si>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</si>
  <si>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</si>
  <si>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</si>
  <si>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</si>
  <si>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</si>
  <si>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</si>
  <si>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</si>
  <si>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</si>
  <si>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</si>
  <si>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</si>
  <si>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</si>
  <si>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</si>
  <si>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</si>
  <si>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</si>
  <si>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</si>
  <si>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</si>
  <si>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</si>
  <si>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</si>
  <si>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</si>
  <si>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</si>
  <si>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</si>
  <si>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</si>
  <si>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</si>
  <si>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</si>
  <si>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</si>
  <si>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</si>
  <si>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</si>
  <si>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</si>
  <si>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Scope</t>
  </si>
  <si>
    <t>Crawler (Python): Queue and retries</t>
  </si>
  <si>
    <t>crawlee</t>
  </si>
  <si>
    <t>1.11.0</t>
  </si>
  <si>
    <t>Apache-2.0</t>
  </si>
  <si>
    <t>runtime</t>
  </si>
  <si>
    <t>Crawler (Python): PubMed parsing</t>
  </si>
  <si>
    <t>biopython</t>
  </si>
  <si>
    <t>LicenseRef-Biopython-License-Agreement</t>
  </si>
  <si>
    <t>permissive</t>
  </si>
  <si>
    <t>Crawler (Python): arXiv client</t>
  </si>
  <si>
    <t>arxiv</t>
  </si>
  <si>
    <t>4.0.2</t>
  </si>
  <si>
    <t>MIT</t>
  </si>
  <si>
    <t>Crawler (Python): YouTube Data API</t>
  </si>
  <si>
    <t>google-api-python-client</t>
  </si>
  <si>
    <t>2.201.0</t>
  </si>
  <si>
    <t>Crawler (Python): Record validation</t>
  </si>
  <si>
    <t>pydantic</t>
  </si>
  <si>
    <t>2.14.1</t>
  </si>
  <si>
    <t>Crawler (Python): Database access</t>
  </si>
  <si>
    <t>asyncpg</t>
  </si>
  <si>
    <t>0.32.0</t>
  </si>
  <si>
    <t>MCP server (TypeScript): MCP SDK</t>
  </si>
  <si>
    <t>@modelcontextprotocol/server</t>
  </si>
  <si>
    <t>2.4.0</t>
  </si>
  <si>
    <t>MCP server (TypeScript): Tool schemas</t>
  </si>
  <si>
    <t>zod</t>
  </si>
  <si>
    <t>4.6.7</t>
  </si>
  <si>
    <t>MCP server (TypeScript): Database access</t>
  </si>
  <si>
    <t>pg</t>
  </si>
  <si>
    <t>8.23.1</t>
  </si>
  <si>
    <t>AI SDK (TypeScript): Gemini summaries</t>
  </si>
  <si>
    <t>@google/genai</t>
  </si>
  <si>
    <t>2.31.0</t>
  </si>
  <si>
    <t>SDK licence only; Vertex AI service terms apply; EU hosting open</t>
  </si>
  <si>
    <t>AI SDK (TypeScript): Embeddings</t>
  </si>
  <si>
    <t>openai</t>
  </si>
  <si>
    <t>7.45.1</t>
  </si>
  <si>
    <t>SDK licence only; OpenAI API terms apply</t>
  </si>
  <si>
    <t>Build and test: TypeScript compiler</t>
  </si>
  <si>
    <t>typescript</t>
  </si>
  <si>
    <t>7.0.2</t>
  </si>
  <si>
    <t>dev</t>
  </si>
  <si>
    <t>Build and test: Python tests</t>
  </si>
  <si>
    <t>pytest</t>
  </si>
  <si>
    <t>9.1.1</t>
  </si>
  <si>
    <t>Build and test: Python lint</t>
  </si>
  <si>
    <t>ruff</t>
  </si>
  <si>
    <t>0.17.3</t>
  </si>
  <si>
    <t>Build and test: TypeScript tests</t>
  </si>
  <si>
    <t>vitest</t>
  </si>
  <si>
    <t>5.0.5</t>
  </si>
  <si>
    <t>Build and test: TypeScript lint</t>
  </si>
  <si>
    <t>@biomejs/biome</t>
  </si>
  <si>
    <t>2.6.3</t>
  </si>
  <si>
    <t>MIT OR Apache-2.0</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</si>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</sst>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b/>
      <name val="Arial"/>
    </font>
    <font>
      <name val="Arial"/>
    </font>
    <font>
      <name val="Caveat"/>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ill="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top" wrapText="1"/>
    </xf>
    <xf borderId="0" fillId="3" fontId="7" numFmtId="0" xfId="0" applyAlignment="1" applyFill="1" applyFont="1">
      <alignment readingOrder="0" shrinkToFit="0" vertical="bottom" wrapText="1"/>
    </xf>
    <xf borderId="0" fillId="4" fontId="7" numFmtId="0" xfId="0" applyAlignment="1" applyFill="1" applyFont="1">
      <alignment shrinkToFit="0" vertical="top" wrapText="1"/>
    </xf>
    <xf borderId="0" fillId="3" fontId="6" numFmtId="0" xfId="0" applyAlignment="1" applyFill="1" applyFont="1">
      <alignment readingOrder="0" shrinkToFit="0" vertical="top" wrapText="1"/>
    </xf>
    <xf borderId="0" fillId="3" fontId="7" numFmtId="0" xfId="0" applyAlignment="1" applyFill="1" applyFont="1">
      <alignment shrinkToFit="0" vertical="top" wrapText="1"/>
    </xf>
    <xf borderId="0" fillId="4" fontId="6" numFmtId="0" xfId="0" applyAlignment="1" applyFill="1" applyFont="1">
      <alignment readingOrder="0" shrinkToFit="0" vertical="top" wrapText="1"/>
    </xf>
    <xf borderId="0" fillId="4" fontId="7" numFmtId="0" xfId="0" applyAlignment="1" applyFill="1" applyFont="1">
      <alignment shrinkToFit="0" vertical="top" wrapText="1"/>
    </xf>
    <xf borderId="0" fillId="3" fontId="6" numFmtId="0" xfId="0" applyAlignment="1" applyFill="1" applyFont="1">
      <alignment shrinkToFit="0" vertical="top" wrapText="1"/>
    </xf>
    <xf borderId="0" fillId="4" fontId="6" numFmtId="0" xfId="0" applyAlignment="1" applyFill="1" applyFont="1">
      <alignment shrinkToFit="0" vertical="top" wrapText="1"/>
    </xf>
    <xf borderId="0" fillId="3" fontId="6" numFmtId="0" xfId="0" applyAlignment="1" applyFill="1" applyFont="1">
      <alignment shrinkToFit="0" vertical="bottom" wrapText="1"/>
    </xf>
    <xf borderId="0" fillId="0" fontId="2" numFmtId="0" xfId="0" applyAlignment="1" applyFont="1">
      <alignment shrinkToFit="0" vertical="top" wrapText="1"/>
    </xf>
    <xf borderId="0" fillId="0" fontId="2" numFmtId="0" xfId="0" applyAlignment="1" applyFont="1">
      <alignment shrinkToFit="0" wrapText="1"/>
    </xf>
    <xf borderId="0" fillId="0" fontId="8" numFmtId="0" xfId="0" applyAlignment="1" applyFont="1">
      <alignment readingOrder="0" shrinkToFit="0" wrapText="1"/>
    </xf>
    <xf borderId="0" fillId="2" fontId="1" numFmtId="0" xfId="0" applyAlignment="1" applyFill="1" applyFont="1">
      <alignment readingOrder="0" shrinkToFit="0" wrapText="1"/>
    </xf>
    <xf borderId="0" fillId="3" fontId="2" numFmtId="0" xfId="0" applyAlignment="1" applyFill="1" applyFont="1">
      <alignment shrinkToFit="0" wrapText="1"/>
    </xf>
    <xf borderId="0" fillId="3" fontId="2" numFmtId="0" xfId="0" applyAlignment="1" applyFill="1" applyFont="1">
      <alignment readingOrder="0" shrinkToFit="0" wrapText="1"/>
    </xf>
    <xf borderId="0" fillId="4" fontId="7" numFmtId="0" xfId="0" applyAlignment="1" applyFill="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ill="1" applyFont="1">
      <alignment horizontal="left" shrinkToFit="0" vertical="bottom" wrapText="1"/>
    </xf>
    <xf borderId="0" fillId="2" fontId="6" numFmtId="0" xfId="0" applyAlignment="1" applyFill="1" applyFont="1">
      <alignment shrinkToFit="0" vertical="bottom" wrapText="0"/>
    </xf>
    <xf borderId="0" fillId="2" fontId="6" numFmtId="0" xfId="0" applyAlignment="1" applyFill="1" applyFont="1">
      <alignment shrinkToFit="0" vertical="bottom" wrapText="0"/>
    </xf>
    <xf borderId="0" fillId="2" fontId="6" numFmtId="0" xfId="0" applyAlignment="1" applyFill="1" applyFont="1">
      <alignment horizontal="center" readingOrder="0" shrinkToFit="0" vertical="bottom" wrapText="1"/>
    </xf>
    <xf borderId="0" fillId="3" fontId="7" numFmtId="0" xfId="0" applyAlignment="1" applyFill="1" applyFont="1">
      <alignment horizontal="left" shrinkToFit="0" vertical="bottom" wrapText="1"/>
    </xf>
    <xf borderId="0" fillId="3" fontId="7" numFmtId="0" xfId="0" applyAlignment="1" applyFill="1" applyFont="1">
      <alignment shrinkToFit="0" vertical="bottom" wrapText="0"/>
    </xf>
    <xf borderId="0" fillId="3" fontId="7" numFmtId="0" xfId="0" applyAlignment="1" applyFill="1" applyFont="1">
      <alignment shrinkToFit="0" vertical="bottom" wrapText="1"/>
    </xf>
    <xf borderId="0" fillId="6" fontId="6" numFmtId="0" xfId="0" applyAlignment="1" applyFill="1" applyFont="1">
      <alignment horizontal="left" shrinkToFit="0" vertical="bottom" wrapText="0"/>
    </xf>
    <xf borderId="0" fillId="6" fontId="7" numFmtId="0" xfId="0" applyAlignment="1" applyFill="1" applyFont="1">
      <alignment shrinkToFit="0" vertical="bottom" wrapText="0"/>
    </xf>
    <xf borderId="0" fillId="6" fontId="7" numFmtId="0" xfId="0" applyAlignment="1" applyFill="1" applyFont="1">
      <alignment shrinkToFit="0" vertical="bottom" wrapText="1"/>
    </xf>
    <xf borderId="0" fillId="4" fontId="6" numFmtId="0" xfId="0" applyAlignment="1" applyFill="1" applyFont="1">
      <alignment shrinkToFit="0" vertical="bottom" wrapText="0"/>
    </xf>
    <xf borderId="0" fillId="0" fontId="2" numFmtId="0" xfId="0" applyAlignment="1" applyFont="1">
      <alignment shrinkToFit="0" wrapText="0"/>
    </xf>
    <xf borderId="0" fillId="4" fontId="7" numFmtId="0" xfId="0" applyAlignment="1" applyFill="1" applyFont="1">
      <alignment shrinkToFit="0" vertical="bottom" wrapText="1"/>
    </xf>
    <xf borderId="0" fillId="4" fontId="7" numFmtId="0" xfId="0" applyAlignment="1" applyFill="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ill="1" applyFont="1">
      <alignment shrinkToFit="0" vertical="bottom" wrapText="0"/>
    </xf>
    <xf borderId="0" fillId="7" fontId="7" numFmtId="0" xfId="0" applyAlignment="1" applyFill="1" applyFont="1">
      <alignment shrinkToFit="0" vertical="bottom" wrapText="1"/>
    </xf>
    <xf borderId="0" fillId="3" fontId="9" numFmtId="0" xfId="0" applyAlignment="1" applyFill="1" applyFont="1">
      <alignment horizontal="center" shrinkToFit="0" vertical="bottom" wrapText="0"/>
    </xf>
    <xf borderId="0" fillId="4" fontId="7" numFmtId="0" xfId="0" applyAlignment="1" applyFill="1" applyFont="1">
      <alignment horizontal="left" shrinkToFit="0" vertical="bottom" wrapText="1"/>
    </xf>
    <xf borderId="0" fillId="3" fontId="7" numFmtId="0" xfId="0" applyAlignment="1" applyFill="1" applyFont="1">
      <alignment horizontal="right" shrinkToFit="0" vertical="bottom" wrapText="0"/>
    </xf>
    <xf borderId="0" fillId="3" fontId="7" numFmtId="0" xfId="0" applyAlignment="1" applyFill="1" applyFont="1">
      <alignment horizontal="left" readingOrder="0" shrinkToFit="0" vertical="bottom" wrapText="1"/>
    </xf>
    <xf borderId="0" fillId="3" fontId="7" numFmtId="0" xfId="0" applyAlignment="1" applyFill="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ill="1" applyFont="1">
      <alignment shrinkToFit="0" vertical="bottom" wrapText="0"/>
    </xf>
    <xf borderId="0" fillId="8" fontId="7" numFmtId="0" xfId="0" applyAlignment="1" applyFill="1" applyFont="1">
      <alignment shrinkToFit="0" vertical="bottom" wrapText="1"/>
    </xf>
    <xf borderId="0" fillId="3" fontId="6" numFmtId="0" xfId="0" applyAlignment="1" applyFill="1" applyFont="1">
      <alignment horizontal="left" shrinkToFit="0" vertical="bottom" wrapText="0"/>
    </xf>
    <xf borderId="0" fillId="3" fontId="6" numFmtId="0" xfId="0" applyAlignment="1" applyFill="1" applyFont="1">
      <alignment shrinkToFit="0" vertical="bottom" wrapText="0"/>
    </xf>
    <xf borderId="0" fillId="4" fontId="7" numFmtId="0" xfId="0" applyAlignment="1" applyFill="1" applyFont="1">
      <alignment shrinkToFit="0" vertical="bottom" wrapText="0"/>
    </xf>
    <xf borderId="0" fillId="3" fontId="7" numFmtId="0" xfId="0" applyAlignment="1" applyFill="1" applyFont="1">
      <alignment horizontal="right" shrinkToFit="0" vertical="bottom" wrapText="0"/>
    </xf>
    <xf borderId="0" fillId="3" fontId="7" numFmtId="0" xfId="0" applyAlignment="1" applyFill="1" applyFont="1">
      <alignment horizontal="left" shrinkToFit="0" vertical="bottom" wrapText="1"/>
    </xf>
    <xf borderId="0" fillId="5" fontId="1" numFmtId="0" xfId="0" applyAlignment="1" applyFill="1" applyFont="1">
      <alignment readingOrder="0" shrinkToFit="0" wrapText="0"/>
    </xf>
    <xf borderId="0" fillId="2" fontId="6" numFmtId="0" xfId="0" applyAlignment="1" applyFill="1" applyFont="1">
      <alignment shrinkToFit="0" vertical="bottom" wrapText="1"/>
    </xf>
    <xf borderId="0" fillId="7" fontId="6" numFmtId="0" xfId="0" applyAlignment="1" applyFill="1" applyFont="1">
      <alignment shrinkToFit="0" vertical="bottom" wrapText="0"/>
    </xf>
    <xf borderId="0" fillId="3" fontId="7" numFmtId="0" xfId="0" applyAlignment="1" applyFill="1" applyFont="1">
      <alignment shrinkToFit="0" vertical="bottom" wrapText="1"/>
    </xf>
    <xf borderId="0" fillId="2" fontId="6" numFmtId="0" xfId="0" applyAlignment="1" applyFill="1" applyFont="1">
      <alignment shrinkToFit="0" vertical="bottom" wrapText="1"/>
    </xf>
    <xf borderId="0" fillId="2" fontId="6" numFmtId="0" xfId="0" applyAlignment="1" applyFill="1" applyFont="1">
      <alignment readingOrder="0" shrinkToFit="0" vertical="bottom" wrapText="0"/>
    </xf>
    <xf borderId="0" fillId="2" fontId="6" numFmtId="0" xfId="0" applyAlignment="1" applyFill="1" applyFont="1">
      <alignment shrinkToFit="0" vertical="center" wrapText="1"/>
    </xf>
    <xf borderId="0" fillId="2" fontId="6" numFmtId="0" xfId="0" applyAlignment="1" applyFill="1" applyFont="1">
      <alignment horizontal="center" shrinkToFit="0" vertical="center" wrapText="1"/>
    </xf>
    <xf borderId="0" fillId="2" fontId="6" numFmtId="4" xfId="0" applyAlignment="1" applyFill="1" applyFont="1" applyNumberFormat="1">
      <alignment shrinkToFit="0" vertical="center" wrapText="1"/>
    </xf>
    <xf borderId="0" fillId="2" fontId="7" numFmtId="4" xfId="0" applyAlignment="1" applyFill="1" applyFont="1" applyNumberFormat="1">
      <alignment shrinkToFit="0" vertical="center" wrapText="1"/>
    </xf>
    <xf borderId="0" fillId="2" fontId="7" numFmtId="0" xfId="0" applyAlignment="1" applyFill="1" applyFont="1">
      <alignment shrinkToFit="0" vertical="center" wrapText="1"/>
    </xf>
    <xf borderId="0" fillId="2" fontId="1" numFmtId="0" xfId="0" applyAlignment="1" applyFill="1" applyFont="1">
      <alignment shrinkToFit="0" vertical="center" wrapText="1"/>
    </xf>
    <xf borderId="0" fillId="3" fontId="6" numFmtId="0" xfId="0" applyAlignment="1" applyFill="1" applyFont="1">
      <alignment shrinkToFit="0" vertical="center" wrapText="1"/>
    </xf>
    <xf borderId="0" fillId="5" fontId="7" numFmtId="0" xfId="0" applyAlignment="1" applyFill="1" applyFont="1">
      <alignment horizontal="center" readingOrder="0" shrinkToFit="0" vertical="center" wrapText="1"/>
    </xf>
    <xf borderId="0" fillId="3" fontId="7" numFmtId="4" xfId="0" applyAlignment="1" applyFill="1" applyFont="1" applyNumberFormat="1">
      <alignment shrinkToFit="0" vertical="center" wrapText="1"/>
    </xf>
    <xf borderId="0" fillId="8" fontId="10" numFmtId="4" xfId="0" applyAlignment="1" applyFill="1" applyFont="1" applyNumberFormat="1">
      <alignment horizontal="center" shrinkToFit="0" vertical="center" wrapText="1"/>
    </xf>
    <xf borderId="0" fillId="8" fontId="10" numFmtId="0" xfId="0" applyAlignment="1" applyFill="1" applyFont="1">
      <alignment horizontal="center" shrinkToFit="0" vertical="center" wrapText="1"/>
    </xf>
    <xf borderId="0" fillId="3" fontId="2" numFmtId="0" xfId="0" applyAlignment="1" applyFill="1" applyFont="1">
      <alignment shrinkToFit="0" vertical="center" wrapText="1"/>
    </xf>
    <xf borderId="0" fillId="4" fontId="6" numFmtId="0" xfId="0" applyAlignment="1" applyFill="1" applyFont="1">
      <alignment shrinkToFit="0" vertical="center" wrapText="1"/>
    </xf>
    <xf borderId="0" fillId="4" fontId="7" numFmtId="4" xfId="0" applyAlignment="1" applyFill="1" applyFont="1" applyNumberFormat="1">
      <alignment shrinkToFit="0" vertical="center" wrapText="1"/>
    </xf>
    <xf borderId="0" fillId="4" fontId="2" numFmtId="0" xfId="0" applyAlignment="1" applyFill="1" applyFont="1">
      <alignment shrinkToFit="0" vertical="center" wrapText="1"/>
    </xf>
    <xf borderId="0" fillId="4" fontId="7" numFmtId="0" xfId="0" applyAlignment="1" applyFill="1" applyFont="1">
      <alignment shrinkToFit="0" vertical="center" wrapText="1"/>
    </xf>
    <xf borderId="0" fillId="3" fontId="7" numFmtId="0" xfId="0" applyAlignment="1" applyFill="1" applyFont="1">
      <alignment shrinkToFit="0" vertical="center" wrapText="1"/>
    </xf>
    <xf borderId="0" fillId="7" fontId="7" numFmtId="0" xfId="0" applyAlignment="1" applyFill="1" applyFont="1">
      <alignment horizontal="center" shrinkToFit="0" vertical="center" wrapText="1"/>
    </xf>
    <xf borderId="0" fillId="7" fontId="7" numFmtId="0" xfId="0" applyAlignment="1" applyFill="1" applyFont="1">
      <alignment readingOrder="0" shrinkToFit="0" vertical="center" wrapText="1"/>
    </xf>
    <xf borderId="0" fillId="4" fontId="2" numFmtId="0" xfId="0" applyAlignment="1" applyFill="1" applyFont="1">
      <alignment horizontal="center" readingOrder="0" shrinkToFit="0" wrapText="1"/>
    </xf>
    <xf borderId="0" fillId="5" fontId="7" numFmtId="0" xfId="0" applyAlignment="1" applyFill="1" applyFont="1">
      <alignment horizontal="center" shrinkToFit="0" vertical="center" wrapText="1"/>
    </xf>
    <xf borderId="0" fillId="3" fontId="1" numFmtId="0" xfId="0" applyAlignment="1" applyFill="1" applyFont="1">
      <alignment shrinkToFit="0" wrapText="0"/>
    </xf>
    <xf borderId="0" fillId="3" fontId="1" numFmtId="0" xfId="0" applyAlignment="1" applyFill="1" applyFont="1">
      <alignment shrinkToFit="0" wrapText="0"/>
    </xf>
    <xf borderId="0" fillId="4" fontId="2" numFmtId="0" xfId="0" applyAlignment="1" applyFill="1" applyFont="1">
      <alignment shrinkToFit="0" wrapText="0"/>
    </xf>
    <xf borderId="0" fillId="3" fontId="2" numFmtId="0" xfId="0" applyAlignment="1" applyFill="1" applyFont="1">
      <alignment shrinkToFit="0" wrapText="0"/>
    </xf>
    <xf borderId="0" fillId="3" fontId="2" numFmtId="0" xfId="0" applyAlignment="1" applyFill="1" applyFont="1">
      <alignment shrinkToFit="0" wrapText="0"/>
    </xf>
    <xf borderId="0" fillId="4" fontId="2" numFmtId="0" xfId="0" applyAlignment="1" applyFill="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2" pivot="0" name="Team Contract-style">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1" displayName="Table_1" name="Table_1" id="1">
  <tableColumns count="2">
    <tableColumn name="Project" id="1"/>
    <tableColumn name="AIlixir Patient Journey Matcher"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G24" displayName="Table_12" name="Table_12" id="12">
  <tableColumns count="7">
    <tableColumn name="#" id="1"/>
    <tableColumn name="Context" id="2"/>
    <tableColumn name="Name" id="3"/>
    <tableColumn name="Version" id="4"/>
    <tableColumn name="License" id="5"/>
    <tableColumn name="Comment" id="6"/>
    <tableColumn name="Scope" id="7"/>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3814190741?pwd=IqXz0xbIrMCk01I1RENueDyarj9E34.1" TargetMode="External"/><Relationship Id="rId2" Type="http://schemas.openxmlformats.org/officeDocument/2006/relationships/hyperlink" Target="https://github.com/amosproj/amos2026ws03-patient-journey-matcher" TargetMode="External"/><Relationship Id="rId3" Type="http://schemas.openxmlformats.org/officeDocument/2006/relationships/hyperlink" Target="https://github.com/orgs/amosproj/projects/111" TargetMode="External"/><Relationship Id="rId4" Type="http://schemas.openxmlformats.org/officeDocument/2006/relationships/hyperlink" Target="https://github.com/orgs/amosproj/projects/115" TargetMode="External"/><Relationship Id="rId10" Type="http://schemas.openxmlformats.org/officeDocument/2006/relationships/table" Target="../tables/table1.xml"/><Relationship Id="rId5" Type="http://schemas.openxmlformats.org/officeDocument/2006/relationships/hyperlink" Target="https://github.com/amosproj/amos2026ws03-patient-journey-matcher/blob/main/Deliverables/sprint-01/Dummy.md" TargetMode="External"/><Relationship Id="rId6" Type="http://schemas.openxmlformats.org/officeDocument/2006/relationships/hyperlink" Target="https://github.com/amosproj/amos2026ws03-patient-journey-matcher/blob/main/Deliverables/sprint-01/team-logo.png" TargetMode="External"/><Relationship Id="rId7" Type="http://schemas.openxmlformats.org/officeDocument/2006/relationships/hyperlink" Target="https://miro.com/app/board/uXjVEX49SL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4"/>
    </row>
    <row r="3">
      <c r="A3" s="1" t="s">
        <v>2</v>
      </c>
      <c r="B3" s="5" t="s">
        <v>3</v>
      </c>
    </row>
    <row r="4">
      <c r="A4" s="3"/>
      <c r="B4" s="4"/>
    </row>
    <row r="5">
      <c r="A5" s="1" t="s">
        <v>4</v>
      </c>
      <c r="B5" s="2" t="s">
        <v>5</v>
      </c>
    </row>
    <row r="6">
      <c r="A6" s="1" t="s">
        <v>6</v>
      </c>
      <c r="B6" s="2" t="s">
        <v>5</v>
      </c>
    </row>
    <row r="7">
      <c r="A7" s="3"/>
      <c r="B7" s="4"/>
    </row>
    <row r="8">
      <c r="A8" s="1" t="s">
        <v>7</v>
      </c>
      <c r="B8" s="5" t="s">
        <v>8</v>
      </c>
    </row>
    <row r="9">
      <c r="A9" s="1" t="s">
        <v>9</v>
      </c>
      <c r="B9" s="5" t="s">
        <v>10</v>
      </c>
    </row>
    <row r="10">
      <c r="A10" s="1" t="s">
        <v>11</v>
      </c>
      <c r="B10" s="5" t="s">
        <v>12</v>
      </c>
    </row>
    <row r="11">
      <c r="A11" s="3"/>
      <c r="B11" s="4"/>
    </row>
    <row r="12">
      <c r="A12" s="6" t="s">
        <v>13</v>
      </c>
      <c r="B12" s="2" t="s">
        <v>14</v>
      </c>
    </row>
    <row r="13">
      <c r="A13" s="1" t="s">
        <v>15</v>
      </c>
      <c r="B13" s="7" t="s">
        <v>16</v>
      </c>
    </row>
    <row r="14">
      <c r="A14" s="1" t="s">
        <v>17</v>
      </c>
      <c r="B14" s="8" t="s">
        <v>16</v>
      </c>
    </row>
    <row r="15">
      <c r="A15" s="3"/>
      <c r="B15" s="4"/>
    </row>
    <row r="16">
      <c r="A16" s="3" t="s">
        <v>18</v>
      </c>
      <c r="B16" s="4"/>
    </row>
    <row r="17">
      <c r="A17" s="1" t="s">
        <v>19</v>
      </c>
      <c r="B17" s="5" t="s">
        <v>20</v>
      </c>
    </row>
    <row r="18">
      <c r="A18" s="3"/>
      <c r="B18" s="4"/>
    </row>
    <row r="19">
      <c r="A19" s="1" t="s">
        <v>21</v>
      </c>
      <c r="B19" s="2" t="s">
        <v>22</v>
      </c>
    </row>
    <row r="20">
      <c r="A20" s="3"/>
      <c r="B20" s="4"/>
    </row>
    <row r="21">
      <c r="A21" s="3"/>
      <c r="B21" s="4"/>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7"/>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1" t="s">
        <v>29</v>
      </c>
      <c r="D2" s="11" t="s">
        <v>30</v>
      </c>
    </row>
    <row r="3">
      <c r="A3" s="10" t="s">
        <v>31</v>
      </c>
      <c r="B3" s="10" t="s">
        <v>32</v>
      </c>
      <c r="C3" s="10" t="s">
        <v>33</v>
      </c>
      <c r="D3" s="10" t="s">
        <v>34</v>
      </c>
    </row>
    <row r="4">
      <c r="A4" s="11" t="s">
        <v>35</v>
      </c>
      <c r="B4" s="11" t="s">
        <v>36</v>
      </c>
      <c r="C4" s="10" t="s">
        <v>37</v>
      </c>
      <c r="D4" s="10" t="s">
        <v>38</v>
      </c>
    </row>
    <row r="5">
      <c r="A5" s="10" t="s">
        <v>39</v>
      </c>
      <c r="B5" s="10"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2"/>
      <c r="B11" s="12"/>
      <c r="C11" s="12"/>
      <c r="D11" s="12"/>
    </row>
    <row r="12">
      <c r="A12" s="9"/>
      <c r="B12" s="13"/>
      <c r="C12" s="13"/>
      <c r="D12" s="13"/>
    </row>
    <row r="13">
      <c r="A13" s="12"/>
      <c r="B13" s="10"/>
      <c r="C13" s="12"/>
      <c r="D13" s="12"/>
    </row>
    <row r="14">
      <c r="A14" s="12"/>
      <c r="B14" s="10"/>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63</v>
      </c>
      <c r="E1" s="14"/>
      <c r="F1" s="15"/>
      <c r="G1" s="15"/>
      <c r="H1" s="14"/>
    </row>
    <row r="2">
      <c r="A2" s="16" t="s">
        <v>64</v>
      </c>
      <c r="B2" s="16" t="s">
        <v>65</v>
      </c>
      <c r="C2" s="16" t="s">
        <v>66</v>
      </c>
      <c r="D2" s="16" t="s">
        <v>67</v>
      </c>
      <c r="E2" s="16" t="s">
        <v>68</v>
      </c>
      <c r="F2" s="17" t="s">
        <v>69</v>
      </c>
      <c r="G2" s="17" t="s">
        <v>70</v>
      </c>
      <c r="H2" s="16" t="s">
        <v>71</v>
      </c>
    </row>
    <row r="3">
      <c r="A3" s="18">
        <v>1.0</v>
      </c>
      <c r="B3" s="19">
        <v>46309.0</v>
      </c>
      <c r="C3" s="10"/>
      <c r="D3" s="10" t="s">
        <v>72</v>
      </c>
      <c r="E3" s="10" t="s">
        <v>73</v>
      </c>
      <c r="F3" s="10" t="s">
        <v>74</v>
      </c>
      <c r="G3" s="10" t="s">
        <v>75</v>
      </c>
      <c r="H3" s="20"/>
    </row>
    <row r="4">
      <c r="A4" s="18">
        <v>2.0</v>
      </c>
      <c r="B4" s="19">
        <v>46316.0</v>
      </c>
      <c r="C4" s="10" t="s">
        <v>72</v>
      </c>
      <c r="D4" s="10" t="s">
        <v>76</v>
      </c>
      <c r="E4" s="10" t="s">
        <v>73</v>
      </c>
      <c r="F4" s="10" t="s">
        <v>77</v>
      </c>
      <c r="G4" s="10" t="s">
        <v>75</v>
      </c>
      <c r="H4" s="20"/>
    </row>
    <row r="5">
      <c r="A5" s="18">
        <v>3.0</v>
      </c>
      <c r="B5" s="19">
        <v>46323.0</v>
      </c>
      <c r="C5" s="10" t="s">
        <v>76</v>
      </c>
      <c r="D5" s="10" t="s">
        <v>72</v>
      </c>
      <c r="E5" s="10" t="s">
        <v>73</v>
      </c>
      <c r="F5" s="10" t="s">
        <v>78</v>
      </c>
      <c r="G5" s="10" t="s">
        <v>75</v>
      </c>
      <c r="H5" s="20"/>
    </row>
    <row r="6">
      <c r="A6" s="18">
        <v>4.0</v>
      </c>
      <c r="B6" s="19">
        <v>46330.0</v>
      </c>
      <c r="C6" s="10" t="s">
        <v>72</v>
      </c>
      <c r="D6" s="10" t="s">
        <v>76</v>
      </c>
      <c r="E6" s="10" t="s">
        <v>73</v>
      </c>
      <c r="F6" s="10" t="s">
        <v>79</v>
      </c>
      <c r="G6" s="10" t="s">
        <v>75</v>
      </c>
      <c r="H6" s="21" t="s">
        <v>80</v>
      </c>
    </row>
    <row r="7">
      <c r="A7" s="18">
        <v>5.0</v>
      </c>
      <c r="B7" s="19">
        <v>46337.0</v>
      </c>
      <c r="C7" s="10" t="s">
        <v>76</v>
      </c>
      <c r="D7" s="10" t="s">
        <v>72</v>
      </c>
      <c r="E7" s="10" t="s">
        <v>73</v>
      </c>
      <c r="F7" s="10" t="s">
        <v>81</v>
      </c>
      <c r="G7" s="10" t="s">
        <v>75</v>
      </c>
      <c r="H7" s="20"/>
    </row>
    <row r="8">
      <c r="A8" s="18">
        <v>6.0</v>
      </c>
      <c r="B8" s="19">
        <v>46344.0</v>
      </c>
      <c r="C8" s="10" t="s">
        <v>72</v>
      </c>
      <c r="D8" s="10" t="s">
        <v>76</v>
      </c>
      <c r="E8" s="10" t="s">
        <v>73</v>
      </c>
      <c r="F8" s="10" t="s">
        <v>78</v>
      </c>
      <c r="G8" s="10" t="s">
        <v>75</v>
      </c>
      <c r="H8" s="20"/>
    </row>
    <row r="9">
      <c r="A9" s="18">
        <v>7.0</v>
      </c>
      <c r="B9" s="19">
        <v>46351.0</v>
      </c>
      <c r="C9" s="10" t="s">
        <v>76</v>
      </c>
      <c r="D9" s="10" t="s">
        <v>72</v>
      </c>
      <c r="E9" s="10" t="s">
        <v>73</v>
      </c>
      <c r="F9" s="10" t="s">
        <v>60</v>
      </c>
      <c r="G9" s="10" t="s">
        <v>75</v>
      </c>
      <c r="H9" s="21" t="s">
        <v>82</v>
      </c>
    </row>
    <row r="10">
      <c r="A10" s="18">
        <v>8.0</v>
      </c>
      <c r="B10" s="19">
        <v>46358.0</v>
      </c>
      <c r="C10" s="10" t="s">
        <v>72</v>
      </c>
      <c r="D10" s="10" t="s">
        <v>76</v>
      </c>
      <c r="E10" s="10" t="s">
        <v>73</v>
      </c>
      <c r="F10" s="10" t="s">
        <v>60</v>
      </c>
      <c r="G10" s="10" t="s">
        <v>75</v>
      </c>
      <c r="H10" s="20"/>
    </row>
    <row r="11">
      <c r="A11" s="18">
        <v>9.0</v>
      </c>
      <c r="B11" s="19">
        <v>46365.0</v>
      </c>
      <c r="C11" s="10" t="s">
        <v>76</v>
      </c>
      <c r="D11" s="10" t="s">
        <v>72</v>
      </c>
      <c r="E11" s="10" t="s">
        <v>73</v>
      </c>
      <c r="F11" s="10" t="s">
        <v>77</v>
      </c>
      <c r="G11" s="10" t="s">
        <v>75</v>
      </c>
      <c r="H11" s="20"/>
    </row>
    <row r="12">
      <c r="A12" s="18">
        <v>10.0</v>
      </c>
      <c r="B12" s="19">
        <v>46372.0</v>
      </c>
      <c r="C12" s="10" t="s">
        <v>72</v>
      </c>
      <c r="D12" s="10" t="s">
        <v>76</v>
      </c>
      <c r="E12" s="10" t="s">
        <v>73</v>
      </c>
      <c r="F12" s="10" t="s">
        <v>81</v>
      </c>
      <c r="G12" s="10" t="s">
        <v>75</v>
      </c>
      <c r="H12" s="20"/>
    </row>
    <row r="13">
      <c r="A13" s="18">
        <v>11.0</v>
      </c>
      <c r="B13" s="19">
        <v>46400.0</v>
      </c>
      <c r="C13" s="10" t="s">
        <v>76</v>
      </c>
      <c r="D13" s="10" t="s">
        <v>72</v>
      </c>
      <c r="E13" s="10" t="s">
        <v>73</v>
      </c>
      <c r="F13" s="10" t="s">
        <v>83</v>
      </c>
      <c r="G13" s="10" t="s">
        <v>75</v>
      </c>
      <c r="H13" s="20"/>
    </row>
    <row r="14">
      <c r="A14" s="18">
        <v>12.0</v>
      </c>
      <c r="B14" s="19">
        <v>46407.0</v>
      </c>
      <c r="C14" s="10" t="s">
        <v>72</v>
      </c>
      <c r="D14" s="10" t="s">
        <v>76</v>
      </c>
      <c r="E14" s="10" t="s">
        <v>73</v>
      </c>
      <c r="F14" s="10" t="s">
        <v>83</v>
      </c>
      <c r="G14" s="10" t="s">
        <v>75</v>
      </c>
      <c r="H14" s="20"/>
    </row>
    <row r="15">
      <c r="A15" s="18">
        <v>13.0</v>
      </c>
      <c r="B15" s="19">
        <v>46414.0</v>
      </c>
      <c r="C15" s="10" t="s">
        <v>76</v>
      </c>
      <c r="D15" s="10" t="s">
        <v>72</v>
      </c>
      <c r="E15" s="10" t="s">
        <v>73</v>
      </c>
      <c r="F15" s="10" t="s">
        <v>78</v>
      </c>
      <c r="G15" s="10" t="s">
        <v>75</v>
      </c>
      <c r="H15" s="20"/>
    </row>
    <row r="16">
      <c r="A16" s="18">
        <v>14.0</v>
      </c>
      <c r="B16" s="19">
        <v>46421.0</v>
      </c>
      <c r="C16" s="10" t="s">
        <v>72</v>
      </c>
      <c r="D16" s="10" t="s">
        <v>76</v>
      </c>
      <c r="E16" s="10" t="s">
        <v>73</v>
      </c>
      <c r="F16" s="12"/>
      <c r="G16" s="10" t="s">
        <v>75</v>
      </c>
      <c r="H16" s="21" t="s">
        <v>84</v>
      </c>
    </row>
    <row r="17">
      <c r="A17" s="18">
        <v>15.0</v>
      </c>
      <c r="B17" s="19">
        <v>46428.0</v>
      </c>
      <c r="C17" s="10" t="s">
        <v>76</v>
      </c>
      <c r="D17" s="10"/>
      <c r="E17" s="10" t="s">
        <v>73</v>
      </c>
      <c r="F17" s="12"/>
      <c r="G17" s="10" t="s">
        <v>75</v>
      </c>
      <c r="H17" s="21" t="s">
        <v>85</v>
      </c>
    </row>
    <row r="18">
      <c r="A18" s="18"/>
      <c r="B18" s="22"/>
      <c r="C18" s="12"/>
      <c r="D18" s="12"/>
      <c r="E18" s="12"/>
      <c r="F18" s="12"/>
      <c r="G18" s="12"/>
      <c r="H18" s="23"/>
    </row>
    <row r="19">
      <c r="A19" s="21" t="s">
        <v>86</v>
      </c>
      <c r="B19" s="24"/>
      <c r="C19" s="25"/>
      <c r="D19" s="25"/>
      <c r="E19" s="25"/>
      <c r="F19" s="25"/>
      <c r="G19" s="25"/>
      <c r="H19" s="23"/>
    </row>
    <row r="20">
      <c r="A20" s="25"/>
      <c r="B20" s="22"/>
      <c r="C20" s="12"/>
      <c r="D20" s="12"/>
      <c r="E20" s="12"/>
      <c r="F20" s="12"/>
      <c r="G20" s="12"/>
      <c r="H20" s="23"/>
    </row>
    <row r="21">
      <c r="A21" s="18"/>
      <c r="B21" s="22"/>
      <c r="C21" s="12"/>
      <c r="D21" s="12"/>
      <c r="E21" s="12"/>
      <c r="F21" s="12"/>
      <c r="G21" s="12"/>
      <c r="H21" s="23"/>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11" t="s">
        <v>89</v>
      </c>
    </row>
    <row r="3">
      <c r="A3" s="29" t="s">
        <v>90</v>
      </c>
      <c r="B3" s="11" t="s">
        <v>91</v>
      </c>
    </row>
    <row r="4">
      <c r="A4" s="28"/>
      <c r="B4" s="11" t="s">
        <v>92</v>
      </c>
    </row>
    <row r="5">
      <c r="A5" s="30"/>
      <c r="B5" s="11" t="s">
        <v>93</v>
      </c>
    </row>
    <row r="6">
      <c r="A6" s="31" t="s">
        <v>94</v>
      </c>
      <c r="B6" s="11" t="s">
        <v>95</v>
      </c>
    </row>
    <row r="7">
      <c r="A7" s="30"/>
      <c r="B7" s="11" t="s">
        <v>96</v>
      </c>
    </row>
    <row r="8">
      <c r="A8" s="31"/>
      <c r="B8" s="11" t="s">
        <v>97</v>
      </c>
    </row>
    <row r="9">
      <c r="A9" s="29" t="s">
        <v>98</v>
      </c>
      <c r="B9" s="11" t="s">
        <v>99</v>
      </c>
    </row>
    <row r="10">
      <c r="A10" s="28"/>
      <c r="B10" s="11" t="s">
        <v>100</v>
      </c>
    </row>
    <row r="11">
      <c r="A11" s="29" t="s">
        <v>101</v>
      </c>
      <c r="B11" s="11" t="s">
        <v>102</v>
      </c>
    </row>
    <row r="12">
      <c r="A12" s="28"/>
      <c r="B12" s="11" t="s">
        <v>103</v>
      </c>
    </row>
    <row r="13">
      <c r="A13" s="29" t="s">
        <v>104</v>
      </c>
      <c r="B13" s="11" t="s">
        <v>105</v>
      </c>
    </row>
    <row r="14">
      <c r="A14" s="32"/>
      <c r="B14" s="11" t="s">
        <v>106</v>
      </c>
    </row>
    <row r="15">
      <c r="A15" s="29" t="s">
        <v>107</v>
      </c>
      <c r="B15" s="11" t="s">
        <v>108</v>
      </c>
    </row>
    <row r="16">
      <c r="A16" s="32"/>
      <c r="B16" s="11" t="s">
        <v>109</v>
      </c>
    </row>
    <row r="17">
      <c r="A17" s="33" t="s">
        <v>110</v>
      </c>
      <c r="B17" s="11" t="s">
        <v>111</v>
      </c>
    </row>
    <row r="18">
      <c r="A18" s="34" t="s">
        <v>112</v>
      </c>
      <c r="B18" s="11" t="s">
        <v>113</v>
      </c>
    </row>
    <row r="19">
      <c r="A19" s="29" t="s">
        <v>114</v>
      </c>
      <c r="B19" s="35"/>
    </row>
    <row r="20">
      <c r="A20" s="36"/>
    </row>
    <row r="21">
      <c r="A21" s="37" t="s">
        <v>70</v>
      </c>
      <c r="B21" s="38" t="s">
        <v>75</v>
      </c>
    </row>
    <row r="22">
      <c r="A22" s="37" t="s">
        <v>115</v>
      </c>
      <c r="B22" s="38" t="s">
        <v>72</v>
      </c>
    </row>
    <row r="23">
      <c r="A23" s="37" t="s">
        <v>115</v>
      </c>
      <c r="B23" s="38" t="s">
        <v>76</v>
      </c>
    </row>
    <row r="24">
      <c r="A24" s="37" t="s">
        <v>116</v>
      </c>
      <c r="B24" s="38" t="s">
        <v>117</v>
      </c>
    </row>
    <row r="25">
      <c r="A25" s="37" t="s">
        <v>116</v>
      </c>
      <c r="B25" s="38" t="s">
        <v>78</v>
      </c>
    </row>
    <row r="26">
      <c r="A26" s="37" t="s">
        <v>116</v>
      </c>
      <c r="B26" s="38" t="s">
        <v>118</v>
      </c>
    </row>
    <row r="27">
      <c r="A27" s="37" t="s">
        <v>116</v>
      </c>
      <c r="B27" s="38" t="s">
        <v>79</v>
      </c>
    </row>
    <row r="28">
      <c r="A28" s="37" t="s">
        <v>116</v>
      </c>
      <c r="B28" s="38" t="s">
        <v>77</v>
      </c>
    </row>
    <row r="29">
      <c r="A29" s="37" t="s">
        <v>116</v>
      </c>
      <c r="B29" s="38" t="s">
        <v>81</v>
      </c>
    </row>
    <row r="30">
      <c r="B30" s="3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119</v>
      </c>
      <c r="B1" s="39" t="s">
        <v>120</v>
      </c>
    </row>
    <row r="2">
      <c r="A2" s="40"/>
      <c r="B2" s="41"/>
    </row>
    <row r="3">
      <c r="A3" s="42" t="s">
        <v>121</v>
      </c>
      <c r="B3" s="42" t="s">
        <v>122</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123</v>
      </c>
      <c r="B1" s="43" t="s">
        <v>124</v>
      </c>
    </row>
    <row r="2">
      <c r="A2" s="4"/>
      <c r="B2" s="4"/>
    </row>
    <row r="3">
      <c r="A3" s="4"/>
      <c r="B3" s="4"/>
    </row>
    <row r="4">
      <c r="A4" s="4"/>
      <c r="B4" s="4"/>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125</v>
      </c>
      <c r="B1" s="1" t="s">
        <v>126</v>
      </c>
    </row>
    <row r="2">
      <c r="A2" s="45">
        <v>1.0</v>
      </c>
      <c r="B2" s="2" t="s">
        <v>127</v>
      </c>
    </row>
    <row r="3">
      <c r="A3" s="45">
        <f t="shared" ref="A3:A16" si="1">A2+1</f>
        <v>2</v>
      </c>
      <c r="B3" s="2" t="s">
        <v>127</v>
      </c>
    </row>
    <row r="4">
      <c r="A4" s="45">
        <f t="shared" si="1"/>
        <v>3</v>
      </c>
      <c r="B4" s="2" t="s">
        <v>127</v>
      </c>
    </row>
    <row r="5">
      <c r="A5" s="45">
        <f t="shared" si="1"/>
        <v>4</v>
      </c>
      <c r="B5" s="11" t="s">
        <v>128</v>
      </c>
    </row>
    <row r="6">
      <c r="A6" s="45">
        <f t="shared" si="1"/>
        <v>5</v>
      </c>
      <c r="B6" s="2" t="s">
        <v>129</v>
      </c>
    </row>
    <row r="7">
      <c r="A7" s="45">
        <f t="shared" si="1"/>
        <v>6</v>
      </c>
      <c r="B7" s="4"/>
    </row>
    <row r="8">
      <c r="A8" s="45">
        <f t="shared" si="1"/>
        <v>7</v>
      </c>
      <c r="B8" s="4"/>
    </row>
    <row r="9">
      <c r="A9" s="45">
        <f t="shared" si="1"/>
        <v>8</v>
      </c>
      <c r="B9" s="4"/>
    </row>
    <row r="10">
      <c r="A10" s="45">
        <f t="shared" si="1"/>
        <v>9</v>
      </c>
      <c r="B10" s="4"/>
    </row>
    <row r="11">
      <c r="A11" s="45">
        <f t="shared" si="1"/>
        <v>10</v>
      </c>
      <c r="B11" s="4"/>
    </row>
    <row r="12">
      <c r="A12" s="45">
        <f t="shared" si="1"/>
        <v>11</v>
      </c>
      <c r="B12" s="4"/>
    </row>
    <row r="13">
      <c r="A13" s="45">
        <f t="shared" si="1"/>
        <v>12</v>
      </c>
      <c r="B13" s="4"/>
    </row>
    <row r="14">
      <c r="A14" s="45">
        <f t="shared" si="1"/>
        <v>13</v>
      </c>
      <c r="B14" s="4"/>
    </row>
    <row r="15">
      <c r="A15" s="45">
        <f t="shared" si="1"/>
        <v>14</v>
      </c>
      <c r="B15" s="4"/>
    </row>
    <row r="16">
      <c r="A16" s="45">
        <f t="shared" si="1"/>
        <v>15</v>
      </c>
      <c r="B16" s="4"/>
    </row>
    <row r="17">
      <c r="A17" s="45"/>
      <c r="B17" s="4"/>
    </row>
    <row r="18">
      <c r="A18" s="45"/>
      <c r="B18" s="4"/>
    </row>
    <row r="19">
      <c r="A19" s="46"/>
      <c r="B19" s="4"/>
    </row>
    <row r="20">
      <c r="A20" s="46"/>
      <c r="B20" s="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125</v>
      </c>
      <c r="B1" s="1" t="s">
        <v>130</v>
      </c>
    </row>
    <row r="2">
      <c r="A2" s="45">
        <v>1.0</v>
      </c>
      <c r="B2" s="2"/>
    </row>
    <row r="3">
      <c r="A3" s="45">
        <f t="shared" ref="A3:A16" si="1">A2+1</f>
        <v>2</v>
      </c>
      <c r="B3" s="2"/>
    </row>
    <row r="4">
      <c r="A4" s="45">
        <f t="shared" si="1"/>
        <v>3</v>
      </c>
      <c r="B4" s="2"/>
    </row>
    <row r="5">
      <c r="A5" s="45">
        <f t="shared" si="1"/>
        <v>4</v>
      </c>
    </row>
    <row r="6">
      <c r="A6" s="45">
        <f t="shared" si="1"/>
        <v>5</v>
      </c>
      <c r="B6" s="2"/>
    </row>
    <row r="7">
      <c r="A7" s="45">
        <f t="shared" si="1"/>
        <v>6</v>
      </c>
      <c r="B7" s="4"/>
    </row>
    <row r="8">
      <c r="A8" s="45">
        <f t="shared" si="1"/>
        <v>7</v>
      </c>
      <c r="B8" s="4"/>
    </row>
    <row r="9">
      <c r="A9" s="45">
        <f t="shared" si="1"/>
        <v>8</v>
      </c>
      <c r="B9" s="4"/>
    </row>
    <row r="10">
      <c r="A10" s="45">
        <f t="shared" si="1"/>
        <v>9</v>
      </c>
      <c r="B10" s="4"/>
    </row>
    <row r="11">
      <c r="A11" s="45">
        <f t="shared" si="1"/>
        <v>10</v>
      </c>
      <c r="B11" s="4"/>
    </row>
    <row r="12">
      <c r="A12" s="45">
        <f t="shared" si="1"/>
        <v>11</v>
      </c>
      <c r="B12" s="4"/>
    </row>
    <row r="13">
      <c r="A13" s="45">
        <f t="shared" si="1"/>
        <v>12</v>
      </c>
      <c r="B13" s="4"/>
    </row>
    <row r="14">
      <c r="A14" s="45">
        <f t="shared" si="1"/>
        <v>13</v>
      </c>
      <c r="B14" s="4"/>
    </row>
    <row r="15">
      <c r="A15" s="45">
        <f t="shared" si="1"/>
        <v>14</v>
      </c>
      <c r="B15" s="4"/>
    </row>
    <row r="16">
      <c r="A16" s="45">
        <f t="shared" si="1"/>
        <v>15</v>
      </c>
      <c r="B16" s="4"/>
    </row>
    <row r="17">
      <c r="A17" s="45"/>
      <c r="B17" s="4"/>
    </row>
    <row r="18">
      <c r="A18" s="45"/>
      <c r="B18" s="47" t="s">
        <v>131</v>
      </c>
    </row>
    <row r="19">
      <c r="A19" s="46"/>
      <c r="B19" s="4"/>
    </row>
    <row r="20">
      <c r="A20" s="46"/>
      <c r="B20" s="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132</v>
      </c>
      <c r="B1" s="49" t="s">
        <v>133</v>
      </c>
      <c r="C1" s="50" t="s">
        <v>134</v>
      </c>
      <c r="D1" s="51" t="s">
        <v>135</v>
      </c>
      <c r="E1" s="51" t="s">
        <v>136</v>
      </c>
      <c r="F1" s="51" t="s">
        <v>137</v>
      </c>
      <c r="G1" s="51" t="s">
        <v>138</v>
      </c>
    </row>
    <row r="2">
      <c r="A2" s="52"/>
      <c r="B2" s="53"/>
      <c r="C2" s="54"/>
      <c r="D2" s="54"/>
      <c r="E2" s="54"/>
      <c r="F2" s="54"/>
      <c r="G2" s="54"/>
    </row>
    <row r="3">
      <c r="A3" s="55" t="s">
        <v>139</v>
      </c>
      <c r="B3" s="56"/>
      <c r="C3" s="57"/>
      <c r="D3" s="57"/>
      <c r="E3" s="57"/>
      <c r="F3" s="57"/>
      <c r="G3" s="57"/>
    </row>
    <row r="4">
      <c r="A4" s="52"/>
      <c r="B4" s="53"/>
      <c r="C4" s="54"/>
      <c r="D4" s="54"/>
      <c r="E4" s="54"/>
      <c r="F4" s="54"/>
      <c r="G4" s="54"/>
    </row>
    <row r="5">
      <c r="A5" s="58" t="s">
        <v>140</v>
      </c>
      <c r="B5" s="59"/>
      <c r="C5" s="60"/>
      <c r="D5" s="61">
        <f>sum(D8:D13)</f>
        <v>0</v>
      </c>
      <c r="E5" s="61">
        <f>D5</f>
        <v>0</v>
      </c>
      <c r="F5" s="60"/>
      <c r="G5" s="60"/>
    </row>
    <row r="6">
      <c r="A6" s="52"/>
      <c r="B6" s="53"/>
      <c r="C6" s="54"/>
      <c r="D6" s="54"/>
      <c r="E6" s="54"/>
      <c r="F6" s="54"/>
      <c r="G6" s="54"/>
    </row>
    <row r="7">
      <c r="A7" s="62" t="s">
        <v>141</v>
      </c>
      <c r="B7" s="63"/>
      <c r="C7" s="64"/>
      <c r="D7" s="64"/>
      <c r="E7" s="64"/>
      <c r="F7" s="64"/>
      <c r="G7" s="64"/>
    </row>
    <row r="8">
      <c r="A8" s="52"/>
      <c r="B8" s="53"/>
      <c r="C8" s="54"/>
      <c r="D8" s="54"/>
      <c r="E8" s="65" t="s">
        <v>142</v>
      </c>
      <c r="F8" s="54"/>
      <c r="G8" s="65" t="s">
        <v>143</v>
      </c>
    </row>
    <row r="9">
      <c r="A9" s="66">
        <v>1.0</v>
      </c>
      <c r="B9" s="58"/>
      <c r="C9" s="60"/>
      <c r="D9" s="61">
        <f>sum(D16:D21)</f>
        <v>0</v>
      </c>
      <c r="E9" s="61">
        <f>$D$5</f>
        <v>0</v>
      </c>
      <c r="F9" s="61">
        <f>sum(F16:F21)</f>
        <v>0</v>
      </c>
      <c r="G9" s="61">
        <f>$D$5</f>
        <v>0</v>
      </c>
    </row>
    <row r="10">
      <c r="A10" s="52">
        <f t="shared" ref="A10:A11" si="1">A9+1</f>
        <v>2</v>
      </c>
      <c r="B10" s="53"/>
      <c r="C10" s="54"/>
      <c r="D10" s="67">
        <f>sum(D22:D27)</f>
        <v>0</v>
      </c>
      <c r="E10" s="67">
        <f t="shared" ref="E10:E12" si="2">E9-D9</f>
        <v>0</v>
      </c>
      <c r="F10" s="67">
        <f>sum(F22:F27)</f>
        <v>0</v>
      </c>
      <c r="G10" s="67">
        <f t="shared" ref="G10:G12" si="3">G9-F9</f>
        <v>0</v>
      </c>
    </row>
    <row r="11">
      <c r="A11" s="66">
        <f t="shared" si="1"/>
        <v>3</v>
      </c>
      <c r="B11" s="58"/>
      <c r="C11" s="60"/>
      <c r="D11" s="61">
        <f>sum(D28:D33)</f>
        <v>0</v>
      </c>
      <c r="E11" s="61">
        <f t="shared" si="2"/>
        <v>0</v>
      </c>
      <c r="F11" s="61">
        <f>sum(F28:F33)</f>
        <v>0</v>
      </c>
      <c r="G11" s="61">
        <f t="shared" si="3"/>
        <v>0</v>
      </c>
    </row>
    <row r="12">
      <c r="A12" s="68" t="s">
        <v>5</v>
      </c>
      <c r="B12" s="69"/>
      <c r="C12" s="54"/>
      <c r="D12" s="54"/>
      <c r="E12" s="67">
        <f t="shared" si="2"/>
        <v>0</v>
      </c>
      <c r="F12" s="54"/>
      <c r="G12" s="67">
        <f t="shared" si="3"/>
        <v>0</v>
      </c>
    </row>
    <row r="13">
      <c r="A13" s="66"/>
      <c r="B13" s="58"/>
      <c r="C13" s="60"/>
      <c r="D13" s="60"/>
      <c r="E13" s="60"/>
      <c r="F13" s="60"/>
      <c r="G13" s="60"/>
    </row>
    <row r="14">
      <c r="A14" s="70" t="s">
        <v>144</v>
      </c>
      <c r="B14" s="71"/>
      <c r="C14" s="72"/>
      <c r="D14" s="72"/>
      <c r="E14" s="72"/>
      <c r="F14" s="72"/>
      <c r="G14" s="72"/>
    </row>
    <row r="15">
      <c r="A15" s="66"/>
      <c r="B15" s="58"/>
      <c r="C15" s="60"/>
      <c r="D15" s="60"/>
      <c r="E15" s="60"/>
      <c r="F15" s="60"/>
      <c r="G15" s="60"/>
    </row>
    <row r="16">
      <c r="A16" s="73">
        <f t="shared" ref="A16:B16" si="4">A9</f>
        <v>1</v>
      </c>
      <c r="B16" s="74" t="str">
        <f t="shared" si="4"/>
        <v/>
      </c>
      <c r="C16" s="54"/>
      <c r="D16" s="54"/>
      <c r="E16" s="54"/>
      <c r="F16" s="54"/>
      <c r="G16" s="54"/>
    </row>
    <row r="17">
      <c r="A17" s="66"/>
      <c r="B17" s="75"/>
      <c r="C17" s="60"/>
      <c r="D17" s="60"/>
      <c r="E17" s="60"/>
      <c r="F17" s="60"/>
      <c r="G17" s="60"/>
    </row>
    <row r="18">
      <c r="A18" s="52"/>
      <c r="B18" s="53"/>
      <c r="C18" s="69"/>
      <c r="D18" s="76"/>
      <c r="E18" s="53"/>
      <c r="F18" s="76"/>
      <c r="G18" s="53"/>
    </row>
    <row r="19">
      <c r="A19" s="66"/>
      <c r="B19" s="75"/>
      <c r="C19" s="60"/>
      <c r="D19" s="61"/>
      <c r="E19" s="60"/>
      <c r="F19" s="61"/>
      <c r="G19" s="60"/>
    </row>
    <row r="20">
      <c r="A20" s="77"/>
      <c r="B20" s="69"/>
      <c r="C20" s="69"/>
      <c r="D20" s="67"/>
      <c r="E20" s="69"/>
      <c r="F20" s="67"/>
      <c r="G20" s="69"/>
    </row>
    <row r="21">
      <c r="A21" s="66"/>
      <c r="B21" s="75"/>
      <c r="C21" s="60"/>
      <c r="D21" s="61"/>
      <c r="E21" s="60"/>
      <c r="F21" s="61"/>
      <c r="G21" s="60"/>
    </row>
    <row r="22">
      <c r="A22" s="73">
        <f t="shared" ref="A22:B22" si="5">A10</f>
        <v>2</v>
      </c>
      <c r="B22" s="74" t="str">
        <f t="shared" si="5"/>
        <v/>
      </c>
      <c r="C22" s="54"/>
      <c r="D22" s="54"/>
      <c r="E22" s="54"/>
      <c r="F22" s="54"/>
      <c r="G22" s="54"/>
    </row>
    <row r="23">
      <c r="A23" s="66"/>
      <c r="B23" s="75"/>
      <c r="C23" s="60"/>
      <c r="D23" s="60"/>
      <c r="E23" s="60"/>
      <c r="F23" s="60"/>
      <c r="G23" s="60"/>
    </row>
    <row r="24">
      <c r="A24" s="77"/>
      <c r="B24" s="69"/>
      <c r="C24" s="69"/>
      <c r="D24" s="67"/>
      <c r="E24" s="69"/>
      <c r="F24" s="67"/>
      <c r="G24" s="69"/>
    </row>
    <row r="25">
      <c r="A25" s="66"/>
      <c r="B25" s="75"/>
      <c r="C25" s="60"/>
      <c r="D25" s="61"/>
      <c r="E25" s="60"/>
      <c r="F25" s="61"/>
      <c r="G25" s="60"/>
    </row>
    <row r="26">
      <c r="A26" s="77"/>
      <c r="B26" s="69"/>
      <c r="C26" s="69"/>
      <c r="D26" s="67"/>
      <c r="E26" s="69"/>
      <c r="F26" s="67"/>
      <c r="G26" s="69"/>
    </row>
    <row r="27">
      <c r="A27" s="66"/>
      <c r="B27" s="75"/>
      <c r="C27" s="60"/>
      <c r="D27" s="61"/>
      <c r="E27" s="60"/>
      <c r="F27" s="61"/>
      <c r="G27" s="60"/>
    </row>
    <row r="28">
      <c r="A28" s="73">
        <f t="shared" ref="A28:B28" si="6">A11</f>
        <v>3</v>
      </c>
      <c r="B28" s="74" t="str">
        <f t="shared" si="6"/>
        <v/>
      </c>
      <c r="C28" s="54"/>
      <c r="D28" s="54"/>
      <c r="E28" s="54"/>
      <c r="F28" s="54"/>
      <c r="G28" s="54"/>
    </row>
    <row r="29">
      <c r="A29" s="66"/>
      <c r="B29" s="75"/>
      <c r="C29" s="60"/>
      <c r="D29" s="60"/>
      <c r="E29" s="60"/>
      <c r="F29" s="60"/>
      <c r="G29" s="60"/>
    </row>
    <row r="30">
      <c r="A30" s="77"/>
      <c r="B30" s="69"/>
      <c r="C30" s="69"/>
      <c r="D30" s="67"/>
      <c r="E30" s="69"/>
      <c r="F30" s="69"/>
      <c r="G30" s="69"/>
    </row>
    <row r="31">
      <c r="A31" s="66"/>
      <c r="B31" s="75"/>
      <c r="C31" s="60"/>
      <c r="D31" s="61"/>
      <c r="E31" s="60"/>
      <c r="F31" s="60"/>
      <c r="G31" s="60"/>
    </row>
    <row r="32">
      <c r="A32" s="77"/>
      <c r="B32" s="69"/>
      <c r="C32" s="54"/>
      <c r="D32" s="67"/>
      <c r="E32" s="69"/>
      <c r="F32" s="69"/>
      <c r="G32" s="69"/>
    </row>
    <row r="33">
      <c r="A33" s="66"/>
      <c r="B33" s="75"/>
      <c r="C33" s="78" t="s">
        <v>145</v>
      </c>
      <c r="D33" s="61"/>
      <c r="E33" s="60"/>
      <c r="F33" s="60"/>
      <c r="G33" s="60"/>
    </row>
    <row r="34">
      <c r="A34" s="77"/>
      <c r="B34" s="69"/>
      <c r="C34" s="54"/>
      <c r="D34" s="54"/>
      <c r="E34" s="54"/>
      <c r="F34" s="54"/>
      <c r="G34" s="5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132</v>
      </c>
      <c r="B1" s="79" t="s">
        <v>133</v>
      </c>
      <c r="C1" s="50" t="s">
        <v>134</v>
      </c>
      <c r="D1" s="51" t="s">
        <v>135</v>
      </c>
      <c r="E1" s="51" t="s">
        <v>136</v>
      </c>
      <c r="F1" s="51" t="s">
        <v>137</v>
      </c>
      <c r="G1" s="51" t="s">
        <v>138</v>
      </c>
    </row>
    <row r="2">
      <c r="A2" s="52"/>
      <c r="B2" s="54"/>
      <c r="C2" s="54"/>
      <c r="D2" s="54"/>
      <c r="E2" s="54"/>
      <c r="F2" s="54"/>
      <c r="G2" s="54"/>
    </row>
    <row r="3">
      <c r="A3" s="55" t="s">
        <v>139</v>
      </c>
      <c r="B3" s="57"/>
      <c r="C3" s="57"/>
      <c r="D3" s="57"/>
      <c r="E3" s="57"/>
      <c r="F3" s="57"/>
      <c r="G3" s="57"/>
    </row>
    <row r="4">
      <c r="A4" s="52"/>
      <c r="B4" s="54"/>
      <c r="C4" s="54"/>
      <c r="D4" s="54"/>
      <c r="E4" s="54"/>
      <c r="F4" s="54"/>
      <c r="G4" s="54"/>
    </row>
    <row r="5">
      <c r="A5" s="58" t="s">
        <v>140</v>
      </c>
      <c r="B5" s="60"/>
      <c r="C5" s="60"/>
      <c r="D5" s="61">
        <f>sum(D8:D13)</f>
        <v>0</v>
      </c>
      <c r="E5" s="61">
        <f>D5</f>
        <v>0</v>
      </c>
      <c r="F5" s="60"/>
      <c r="G5" s="60"/>
    </row>
    <row r="6">
      <c r="A6" s="52"/>
      <c r="B6" s="54"/>
      <c r="C6" s="54"/>
      <c r="D6" s="54"/>
      <c r="E6" s="54"/>
      <c r="F6" s="54"/>
      <c r="G6" s="54"/>
    </row>
    <row r="7">
      <c r="A7" s="62" t="s">
        <v>141</v>
      </c>
      <c r="B7" s="80"/>
      <c r="C7" s="64"/>
      <c r="D7" s="64"/>
      <c r="E7" s="64"/>
      <c r="F7" s="64"/>
      <c r="G7" s="64"/>
    </row>
    <row r="8">
      <c r="A8" s="52"/>
      <c r="B8" s="54"/>
      <c r="C8" s="54"/>
      <c r="D8" s="54"/>
      <c r="E8" s="65" t="s">
        <v>142</v>
      </c>
      <c r="F8" s="54"/>
      <c r="G8" s="65" t="s">
        <v>143</v>
      </c>
    </row>
    <row r="9">
      <c r="A9" s="66">
        <v>1.0</v>
      </c>
      <c r="B9" s="60"/>
      <c r="C9" s="60"/>
      <c r="D9" s="61">
        <f>sum(D16:D21)</f>
        <v>0</v>
      </c>
      <c r="E9" s="61">
        <f>$D$5</f>
        <v>0</v>
      </c>
      <c r="F9" s="61">
        <f>sum(F16:F21)</f>
        <v>0</v>
      </c>
      <c r="G9" s="61">
        <f>$D$5</f>
        <v>0</v>
      </c>
    </row>
    <row r="10">
      <c r="A10" s="52">
        <f t="shared" ref="A10:A11" si="1">A9+1</f>
        <v>2</v>
      </c>
      <c r="B10" s="54"/>
      <c r="C10" s="54"/>
      <c r="D10" s="67">
        <f>sum(D22:D27)</f>
        <v>0</v>
      </c>
      <c r="E10" s="67">
        <f t="shared" ref="E10:E12" si="2">E9-D9</f>
        <v>0</v>
      </c>
      <c r="F10" s="67">
        <f>sum(F22:F27)</f>
        <v>0</v>
      </c>
      <c r="G10" s="67">
        <f t="shared" ref="G10:G12" si="3">G9-F9</f>
        <v>0</v>
      </c>
    </row>
    <row r="11">
      <c r="A11" s="66">
        <f t="shared" si="1"/>
        <v>3</v>
      </c>
      <c r="B11" s="60"/>
      <c r="C11" s="60"/>
      <c r="D11" s="61">
        <f>sum(D28:D33)</f>
        <v>0</v>
      </c>
      <c r="E11" s="61">
        <f t="shared" si="2"/>
        <v>0</v>
      </c>
      <c r="F11" s="61">
        <f>sum(F28:F33)</f>
        <v>0</v>
      </c>
      <c r="G11" s="61">
        <f t="shared" si="3"/>
        <v>0</v>
      </c>
    </row>
    <row r="12">
      <c r="A12" s="68" t="s">
        <v>5</v>
      </c>
      <c r="B12" s="54"/>
      <c r="C12" s="54"/>
      <c r="D12" s="54"/>
      <c r="E12" s="67">
        <f t="shared" si="2"/>
        <v>0</v>
      </c>
      <c r="F12" s="54"/>
      <c r="G12" s="67">
        <f t="shared" si="3"/>
        <v>0</v>
      </c>
    </row>
    <row r="13">
      <c r="A13" s="66"/>
      <c r="B13" s="60"/>
      <c r="C13" s="60"/>
      <c r="D13" s="60"/>
      <c r="E13" s="60"/>
      <c r="F13" s="60"/>
      <c r="G13" s="60"/>
    </row>
    <row r="14">
      <c r="A14" s="70" t="s">
        <v>144</v>
      </c>
      <c r="B14" s="71"/>
      <c r="C14" s="72"/>
      <c r="D14" s="72"/>
      <c r="E14" s="72"/>
      <c r="F14" s="72"/>
      <c r="G14" s="72"/>
    </row>
    <row r="15">
      <c r="A15" s="66"/>
      <c r="B15" s="60"/>
      <c r="C15" s="60"/>
      <c r="D15" s="60"/>
      <c r="E15" s="60"/>
      <c r="F15" s="60"/>
      <c r="G15" s="60"/>
    </row>
    <row r="16">
      <c r="A16" s="73">
        <f>A9</f>
        <v>1</v>
      </c>
      <c r="B16" s="54"/>
      <c r="C16" s="54"/>
      <c r="D16" s="54"/>
      <c r="E16" s="54"/>
      <c r="F16" s="54"/>
      <c r="G16" s="54"/>
    </row>
    <row r="17">
      <c r="A17" s="66"/>
      <c r="B17" s="75"/>
      <c r="C17" s="60"/>
      <c r="D17" s="60"/>
      <c r="E17" s="60"/>
      <c r="F17" s="60"/>
      <c r="G17" s="60"/>
    </row>
    <row r="18">
      <c r="A18" s="52"/>
      <c r="B18" s="81"/>
      <c r="C18" s="69"/>
      <c r="D18" s="76"/>
      <c r="E18" s="53"/>
      <c r="F18" s="76"/>
      <c r="G18" s="53"/>
    </row>
    <row r="19">
      <c r="A19" s="66"/>
      <c r="B19" s="60"/>
      <c r="C19" s="60"/>
      <c r="D19" s="61"/>
      <c r="E19" s="60"/>
      <c r="F19" s="61"/>
      <c r="G19" s="60"/>
    </row>
    <row r="20">
      <c r="A20" s="77"/>
      <c r="B20" s="54"/>
      <c r="C20" s="69"/>
      <c r="D20" s="67"/>
      <c r="E20" s="69"/>
      <c r="F20" s="67"/>
      <c r="G20" s="69"/>
    </row>
    <row r="21">
      <c r="A21" s="66"/>
      <c r="B21" s="60"/>
      <c r="C21" s="60"/>
      <c r="D21" s="61"/>
      <c r="E21" s="60"/>
      <c r="F21" s="61"/>
      <c r="G21" s="60"/>
    </row>
    <row r="22">
      <c r="A22" s="73">
        <f>A10</f>
        <v>2</v>
      </c>
      <c r="B22" s="54"/>
      <c r="C22" s="54"/>
      <c r="D22" s="54"/>
      <c r="E22" s="54"/>
      <c r="F22" s="54"/>
      <c r="G22" s="54"/>
    </row>
    <row r="23">
      <c r="A23" s="66"/>
      <c r="B23" s="75"/>
      <c r="C23" s="60"/>
      <c r="D23" s="60"/>
      <c r="E23" s="60"/>
      <c r="F23" s="60"/>
      <c r="G23" s="60"/>
    </row>
    <row r="24">
      <c r="A24" s="77"/>
      <c r="B24" s="54"/>
      <c r="C24" s="69"/>
      <c r="D24" s="67"/>
      <c r="E24" s="69"/>
      <c r="F24" s="67"/>
      <c r="G24" s="69"/>
    </row>
    <row r="25">
      <c r="A25" s="66"/>
      <c r="B25" s="60"/>
      <c r="C25" s="60"/>
      <c r="D25" s="61"/>
      <c r="E25" s="60"/>
      <c r="F25" s="61"/>
      <c r="G25" s="60"/>
    </row>
    <row r="26">
      <c r="A26" s="77"/>
      <c r="B26" s="54"/>
      <c r="C26" s="69"/>
      <c r="D26" s="67"/>
      <c r="E26" s="69"/>
      <c r="F26" s="67"/>
      <c r="G26" s="69"/>
    </row>
    <row r="27">
      <c r="A27" s="66"/>
      <c r="B27" s="60"/>
      <c r="C27" s="60"/>
      <c r="D27" s="61"/>
      <c r="E27" s="60"/>
      <c r="F27" s="61"/>
      <c r="G27" s="60"/>
    </row>
    <row r="28">
      <c r="A28" s="73">
        <f>A11</f>
        <v>3</v>
      </c>
      <c r="B28" s="54"/>
      <c r="C28" s="54"/>
      <c r="D28" s="54"/>
      <c r="E28" s="54"/>
      <c r="F28" s="54"/>
      <c r="G28" s="54"/>
    </row>
    <row r="29">
      <c r="A29" s="66"/>
      <c r="B29" s="75"/>
      <c r="C29" s="60"/>
      <c r="D29" s="60"/>
      <c r="E29" s="60"/>
      <c r="F29" s="60"/>
      <c r="G29" s="60"/>
    </row>
    <row r="30">
      <c r="A30" s="77"/>
      <c r="B30" s="54"/>
      <c r="C30" s="69"/>
      <c r="D30" s="67"/>
      <c r="E30" s="69"/>
      <c r="F30" s="69"/>
      <c r="G30" s="69"/>
    </row>
    <row r="31">
      <c r="A31" s="66"/>
      <c r="B31" s="60"/>
      <c r="C31" s="60"/>
      <c r="D31" s="61"/>
      <c r="E31" s="60"/>
      <c r="F31" s="60"/>
      <c r="G31" s="60"/>
    </row>
    <row r="32">
      <c r="A32" s="77"/>
      <c r="B32" s="54"/>
      <c r="C32" s="54"/>
      <c r="D32" s="67"/>
      <c r="E32" s="69"/>
      <c r="F32" s="69"/>
      <c r="G32" s="69"/>
    </row>
    <row r="33">
      <c r="A33" s="66"/>
      <c r="B33" s="60"/>
      <c r="C33" s="78" t="s">
        <v>145</v>
      </c>
      <c r="D33" s="61"/>
      <c r="E33" s="60"/>
      <c r="F33" s="60"/>
      <c r="G33" s="60"/>
    </row>
    <row r="34">
      <c r="A34" s="77"/>
      <c r="B34" s="54"/>
      <c r="C34" s="54"/>
      <c r="D34" s="54"/>
      <c r="E34" s="54"/>
      <c r="F34" s="54"/>
      <c r="G34" s="5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2" t="s">
        <v>64</v>
      </c>
      <c r="B1" s="49" t="s">
        <v>146</v>
      </c>
      <c r="C1" s="49" t="s">
        <v>147</v>
      </c>
      <c r="D1" s="83" t="s">
        <v>148</v>
      </c>
    </row>
    <row r="2">
      <c r="A2" s="4"/>
      <c r="B2" s="4"/>
      <c r="C2" s="4"/>
      <c r="D2" s="4"/>
    </row>
    <row r="3">
      <c r="A3" s="4"/>
      <c r="B3" s="4"/>
      <c r="C3" s="4"/>
      <c r="D3" s="4"/>
    </row>
    <row r="4">
      <c r="A4" s="4"/>
      <c r="B4" s="4"/>
      <c r="C4" s="4"/>
      <c r="D4" s="4"/>
    </row>
    <row r="5">
      <c r="A5" s="4"/>
      <c r="B5" s="4"/>
      <c r="C5" s="4"/>
      <c r="D5" s="4"/>
    </row>
    <row r="6">
      <c r="A6" s="4"/>
      <c r="B6" s="4"/>
      <c r="C6" s="4"/>
      <c r="D6" s="4"/>
    </row>
    <row r="7">
      <c r="A7" s="4"/>
      <c r="B7" s="4"/>
      <c r="C7" s="4"/>
      <c r="D7" s="4"/>
    </row>
    <row r="8">
      <c r="A8" s="4"/>
      <c r="B8" s="4"/>
      <c r="C8" s="4"/>
      <c r="D8" s="4"/>
    </row>
    <row r="9">
      <c r="A9" s="4"/>
      <c r="B9" s="4"/>
      <c r="C9" s="4"/>
      <c r="D9" s="4"/>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149</v>
      </c>
      <c r="B1" s="1" t="s">
        <v>150</v>
      </c>
    </row>
    <row r="2">
      <c r="A2" s="4"/>
      <c r="B2" s="4"/>
    </row>
    <row r="3">
      <c r="A3" s="4"/>
      <c r="B3" s="4"/>
    </row>
    <row r="4">
      <c r="A4" s="4"/>
      <c r="B4" s="4"/>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7" width="37.63"/>
  </cols>
  <sheetData>
    <row r="1">
      <c r="A1" s="9" t="s">
        <v>64</v>
      </c>
      <c r="B1" s="1" t="s">
        <v>151</v>
      </c>
      <c r="C1" s="1" t="s">
        <v>152</v>
      </c>
      <c r="D1" s="1" t="s">
        <v>153</v>
      </c>
      <c r="E1" s="1" t="s">
        <v>154</v>
      </c>
      <c r="F1" s="1" t="s">
        <v>71</v>
      </c>
      <c r="G1" s="1" t="s">
        <v>155</v>
      </c>
    </row>
    <row r="2">
      <c r="A2" s="2">
        <v>1.0</v>
      </c>
      <c r="B2" s="2" t="s">
        <v>156</v>
      </c>
      <c r="C2" s="2" t="s">
        <v>157</v>
      </c>
      <c r="D2" s="2" t="s">
        <v>158</v>
      </c>
      <c r="E2" s="2" t="s">
        <v>159</v>
      </c>
      <c r="F2" s="2"/>
      <c r="G2" s="2" t="s">
        <v>160</v>
      </c>
    </row>
    <row r="3">
      <c r="A3" s="2">
        <v>2.0</v>
      </c>
      <c r="B3" s="2" t="s">
        <v>161</v>
      </c>
      <c r="C3" s="2" t="s">
        <v>162</v>
      </c>
      <c r="D3" s="45">
        <v>1.88</v>
      </c>
      <c r="E3" s="2" t="s">
        <v>163</v>
      </c>
      <c r="F3" s="2" t="s">
        <v>164</v>
      </c>
      <c r="G3" s="2" t="s">
        <v>160</v>
      </c>
    </row>
    <row r="4">
      <c r="A4" s="2">
        <v>3.0</v>
      </c>
      <c r="B4" s="2" t="s">
        <v>165</v>
      </c>
      <c r="C4" s="2" t="s">
        <v>166</v>
      </c>
      <c r="D4" s="45" t="s">
        <v>167</v>
      </c>
      <c r="E4" s="2" t="s">
        <v>168</v>
      </c>
      <c r="F4" s="2"/>
      <c r="G4" s="2" t="s">
        <v>160</v>
      </c>
    </row>
    <row r="5">
      <c r="A5" s="2">
        <v>4.0</v>
      </c>
      <c r="B5" s="2" t="s">
        <v>169</v>
      </c>
      <c r="C5" s="2" t="s">
        <v>170</v>
      </c>
      <c r="D5" s="2" t="s">
        <v>171</v>
      </c>
      <c r="E5" s="2" t="s">
        <v>159</v>
      </c>
      <c r="F5" s="2"/>
      <c r="G5" s="2" t="s">
        <v>160</v>
      </c>
    </row>
    <row r="6">
      <c r="A6" s="2">
        <v>5.0</v>
      </c>
      <c r="B6" s="2" t="s">
        <v>172</v>
      </c>
      <c r="C6" s="2" t="s">
        <v>173</v>
      </c>
      <c r="D6" s="2" t="s">
        <v>174</v>
      </c>
      <c r="E6" s="2" t="s">
        <v>168</v>
      </c>
      <c r="F6" s="2"/>
      <c r="G6" s="2" t="s">
        <v>160</v>
      </c>
    </row>
    <row r="7">
      <c r="A7" s="2">
        <v>6.0</v>
      </c>
      <c r="B7" s="2" t="s">
        <v>175</v>
      </c>
      <c r="C7" s="2" t="s">
        <v>176</v>
      </c>
      <c r="D7" s="45" t="s">
        <v>177</v>
      </c>
      <c r="E7" s="2" t="s">
        <v>159</v>
      </c>
      <c r="F7" s="2"/>
      <c r="G7" s="2" t="s">
        <v>160</v>
      </c>
    </row>
    <row r="8">
      <c r="A8" s="2">
        <v>7.0</v>
      </c>
      <c r="B8" s="2" t="s">
        <v>178</v>
      </c>
      <c r="C8" s="2" t="s">
        <v>179</v>
      </c>
      <c r="D8" s="2" t="s">
        <v>180</v>
      </c>
      <c r="E8" s="2" t="s">
        <v>159</v>
      </c>
      <c r="F8" s="2"/>
      <c r="G8" s="2" t="s">
        <v>160</v>
      </c>
    </row>
    <row r="9">
      <c r="A9" s="2">
        <v>8.0</v>
      </c>
      <c r="B9" s="2" t="s">
        <v>181</v>
      </c>
      <c r="C9" s="2" t="s">
        <v>182</v>
      </c>
      <c r="D9" s="2" t="s">
        <v>183</v>
      </c>
      <c r="E9" s="2" t="s">
        <v>168</v>
      </c>
      <c r="F9" s="2"/>
      <c r="G9" s="2" t="s">
        <v>160</v>
      </c>
    </row>
    <row r="10">
      <c r="A10" s="2">
        <v>9.0</v>
      </c>
      <c r="B10" s="2" t="s">
        <v>184</v>
      </c>
      <c r="C10" s="2" t="s">
        <v>185</v>
      </c>
      <c r="D10" s="2" t="s">
        <v>186</v>
      </c>
      <c r="E10" s="2" t="s">
        <v>168</v>
      </c>
      <c r="F10" s="2"/>
      <c r="G10" s="2" t="s">
        <v>160</v>
      </c>
    </row>
    <row r="11">
      <c r="A11" s="2">
        <v>10.0</v>
      </c>
      <c r="B11" s="2" t="s">
        <v>187</v>
      </c>
      <c r="C11" s="2" t="s">
        <v>188</v>
      </c>
      <c r="D11" s="2" t="s">
        <v>189</v>
      </c>
      <c r="E11" s="2" t="s">
        <v>159</v>
      </c>
      <c r="F11" s="2" t="s">
        <v>190</v>
      </c>
      <c r="G11" s="2" t="s">
        <v>160</v>
      </c>
    </row>
    <row r="12">
      <c r="A12" s="2">
        <v>11.0</v>
      </c>
      <c r="B12" s="2" t="s">
        <v>191</v>
      </c>
      <c r="C12" s="2" t="s">
        <v>192</v>
      </c>
      <c r="D12" s="2" t="s">
        <v>193</v>
      </c>
      <c r="E12" s="2" t="s">
        <v>159</v>
      </c>
      <c r="F12" s="2" t="s">
        <v>194</v>
      </c>
      <c r="G12" s="2" t="s">
        <v>160</v>
      </c>
    </row>
    <row r="13">
      <c r="A13" s="2">
        <v>12.0</v>
      </c>
      <c r="B13" s="2" t="s">
        <v>195</v>
      </c>
      <c r="C13" s="2" t="s">
        <v>196</v>
      </c>
      <c r="D13" s="2" t="s">
        <v>197</v>
      </c>
      <c r="E13" s="2" t="s">
        <v>159</v>
      </c>
      <c r="F13" s="2"/>
      <c r="G13" s="2" t="s">
        <v>198</v>
      </c>
    </row>
    <row r="14">
      <c r="A14" s="2">
        <v>13.0</v>
      </c>
      <c r="B14" s="2" t="s">
        <v>199</v>
      </c>
      <c r="C14" s="2" t="s">
        <v>200</v>
      </c>
      <c r="D14" s="2" t="s">
        <v>201</v>
      </c>
      <c r="E14" s="2" t="s">
        <v>168</v>
      </c>
      <c r="F14" s="2"/>
      <c r="G14" s="2" t="s">
        <v>198</v>
      </c>
    </row>
    <row r="15">
      <c r="A15" s="2">
        <v>14.0</v>
      </c>
      <c r="B15" s="2" t="s">
        <v>202</v>
      </c>
      <c r="C15" s="2" t="s">
        <v>203</v>
      </c>
      <c r="D15" s="2" t="s">
        <v>204</v>
      </c>
      <c r="E15" s="2" t="s">
        <v>168</v>
      </c>
      <c r="F15" s="2"/>
      <c r="G15" s="2" t="s">
        <v>198</v>
      </c>
    </row>
    <row r="16">
      <c r="A16" s="2">
        <v>15.0</v>
      </c>
      <c r="B16" s="2" t="s">
        <v>205</v>
      </c>
      <c r="C16" s="2" t="s">
        <v>206</v>
      </c>
      <c r="D16" s="2" t="s">
        <v>207</v>
      </c>
      <c r="E16" s="2" t="s">
        <v>168</v>
      </c>
      <c r="F16" s="2"/>
      <c r="G16" s="2" t="s">
        <v>198</v>
      </c>
    </row>
    <row r="17">
      <c r="A17" s="2">
        <v>16.0</v>
      </c>
      <c r="B17" s="2" t="s">
        <v>208</v>
      </c>
      <c r="C17" s="2" t="s">
        <v>209</v>
      </c>
      <c r="D17" s="2" t="s">
        <v>210</v>
      </c>
      <c r="E17" s="2" t="s">
        <v>211</v>
      </c>
      <c r="F17" s="2"/>
      <c r="G17" s="2" t="s">
        <v>198</v>
      </c>
    </row>
    <row r="18">
      <c r="A18" s="2"/>
      <c r="B18" s="2"/>
      <c r="C18" s="2"/>
      <c r="D18" s="2"/>
      <c r="E18" s="2"/>
      <c r="F18" s="2"/>
      <c r="G18" s="2"/>
    </row>
    <row r="19">
      <c r="A19" s="2"/>
      <c r="B19" s="2"/>
      <c r="C19" s="2"/>
      <c r="D19" s="2"/>
      <c r="E19" s="2"/>
      <c r="F19" s="2"/>
      <c r="G19" s="2"/>
    </row>
    <row r="20">
      <c r="A20" s="2"/>
      <c r="B20" s="2"/>
      <c r="C20" s="2"/>
      <c r="D20" s="2"/>
      <c r="E20" s="2"/>
      <c r="F20" s="2"/>
      <c r="G20" s="2"/>
    </row>
    <row r="21">
      <c r="A21" s="2"/>
      <c r="B21" s="2"/>
      <c r="C21" s="2"/>
      <c r="D21" s="2"/>
      <c r="E21" s="2"/>
      <c r="F21" s="2"/>
      <c r="G21" s="2"/>
    </row>
    <row r="22">
      <c r="A22" s="2"/>
      <c r="B22" s="2"/>
      <c r="C22" s="2"/>
      <c r="D22" s="2"/>
      <c r="E22" s="2"/>
      <c r="F22" s="2"/>
      <c r="G22" s="2"/>
    </row>
    <row r="23">
      <c r="A23" s="2"/>
      <c r="B23" s="2"/>
      <c r="C23" s="2"/>
      <c r="D23" s="2"/>
      <c r="E23" s="2"/>
      <c r="F23" s="2"/>
      <c r="G23" s="2"/>
    </row>
    <row r="24">
      <c r="A24" s="2"/>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212</v>
      </c>
      <c r="D1" s="86"/>
      <c r="E1" s="87"/>
      <c r="F1" s="88"/>
      <c r="G1" s="89"/>
      <c r="H1" s="89"/>
    </row>
    <row r="2">
      <c r="A2" s="90" t="str">
        <f>'Project Team'!A9</f>
        <v>Reinel</v>
      </c>
      <c r="B2" s="90" t="str">
        <f>'Project Team'!B9</f>
        <v>Moritz</v>
      </c>
      <c r="C2" s="91"/>
      <c r="D2" s="92"/>
      <c r="E2" s="93">
        <f>AVERAGE(C5:C9)</f>
        <v>1</v>
      </c>
      <c r="F2" s="94" t="str">
        <f>IF(STDEV(C5:C9) &gt; 0,"NOK", "OK")</f>
        <v>OK</v>
      </c>
      <c r="G2" s="95"/>
      <c r="H2" s="95"/>
    </row>
    <row r="3">
      <c r="A3" s="96" t="str">
        <f>'Project Team'!A2</f>
        <v>Richter</v>
      </c>
      <c r="B3" s="96" t="str">
        <f>'Project Team'!B2</f>
        <v>Miriam</v>
      </c>
      <c r="C3" s="91"/>
      <c r="D3" s="97"/>
      <c r="G3" s="98"/>
      <c r="H3" s="98"/>
    </row>
    <row r="4">
      <c r="A4" s="90" t="str">
        <f>'Project Team'!A8</f>
        <v>Pfahlmann</v>
      </c>
      <c r="B4" s="90" t="str">
        <f>'Project Team'!B8</f>
        <v>Fabian</v>
      </c>
      <c r="C4" s="91"/>
      <c r="D4" s="92"/>
      <c r="G4" s="95"/>
      <c r="H4" s="95"/>
    </row>
    <row r="5">
      <c r="A5" s="96" t="str">
        <f>'Project Team'!A5</f>
        <v>Neubauer</v>
      </c>
      <c r="B5" s="96" t="str">
        <f>'Project Team'!B5</f>
        <v>Robin</v>
      </c>
      <c r="C5" s="91">
        <v>1.0</v>
      </c>
      <c r="D5" s="99"/>
      <c r="E5" s="99"/>
      <c r="F5" s="99"/>
      <c r="G5" s="98"/>
      <c r="H5" s="98"/>
    </row>
    <row r="6">
      <c r="A6" s="90" t="str">
        <f>'Project Team'!A6</f>
        <v>Zink</v>
      </c>
      <c r="B6" s="90" t="str">
        <f>'Project Team'!B6</f>
        <v>Nina</v>
      </c>
      <c r="C6" s="91">
        <v>1.0</v>
      </c>
      <c r="D6" s="100"/>
      <c r="E6" s="101">
        <v>0.0</v>
      </c>
      <c r="F6" s="102" t="s">
        <v>213</v>
      </c>
      <c r="G6" s="95"/>
      <c r="H6" s="95"/>
    </row>
    <row r="7">
      <c r="A7" s="96" t="str">
        <f>'Project Team'!A7</f>
        <v>Cekic</v>
      </c>
      <c r="B7" s="96" t="str">
        <f>'Project Team'!B7</f>
        <v>Erman</v>
      </c>
      <c r="C7" s="91">
        <v>1.0</v>
      </c>
      <c r="D7" s="99"/>
      <c r="E7" s="101">
        <v>1.0</v>
      </c>
      <c r="F7" s="102" t="s">
        <v>214</v>
      </c>
      <c r="G7" s="98"/>
      <c r="H7" s="98"/>
    </row>
    <row r="8">
      <c r="A8" s="90" t="str">
        <f>'Project Team'!A3</f>
        <v>Meligy</v>
      </c>
      <c r="B8" s="90" t="str">
        <f>'Project Team'!B3</f>
        <v>Ziad</v>
      </c>
      <c r="C8" s="91">
        <v>1.0</v>
      </c>
      <c r="D8" s="100"/>
      <c r="E8" s="101">
        <v>2.0</v>
      </c>
      <c r="F8" s="102" t="s">
        <v>215</v>
      </c>
      <c r="G8" s="95"/>
      <c r="H8" s="95"/>
    </row>
    <row r="9">
      <c r="A9" s="96" t="str">
        <f>'Project Team'!A4</f>
        <v>Tasken</v>
      </c>
      <c r="B9" s="96" t="str">
        <f>'Project Team'!B4</f>
        <v>Eren</v>
      </c>
      <c r="C9" s="103">
        <v>1.0</v>
      </c>
      <c r="D9" s="99"/>
      <c r="E9" s="101">
        <v>3.0</v>
      </c>
      <c r="F9" s="102" t="s">
        <v>216</v>
      </c>
      <c r="G9" s="98"/>
      <c r="H9" s="98"/>
    </row>
    <row r="10">
      <c r="A10" s="90" t="str">
        <f>'Project Team'!A10</f>
        <v>Adas</v>
      </c>
      <c r="B10" s="90" t="str">
        <f>'Project Team'!B10</f>
        <v>Munir</v>
      </c>
      <c r="C10" s="41">
        <v>1.0</v>
      </c>
      <c r="D10" s="100"/>
      <c r="E10" s="101">
        <v>5.0</v>
      </c>
      <c r="F10" s="102" t="s">
        <v>217</v>
      </c>
      <c r="G10" s="95"/>
      <c r="H10" s="95"/>
    </row>
    <row r="11">
      <c r="C11" s="104"/>
      <c r="D11" s="99"/>
      <c r="E11" s="101">
        <v>8.0</v>
      </c>
      <c r="F11" s="102" t="s">
        <v>218</v>
      </c>
      <c r="G11" s="98"/>
      <c r="H11" s="98"/>
    </row>
    <row r="12">
      <c r="A12" s="90"/>
      <c r="B12" s="90"/>
      <c r="C12" s="104"/>
      <c r="D12" s="100"/>
      <c r="E12" s="101">
        <v>13.0</v>
      </c>
      <c r="F12" s="102" t="s">
        <v>219</v>
      </c>
      <c r="G12" s="95"/>
      <c r="H12" s="95"/>
    </row>
    <row r="13">
      <c r="A13" s="96"/>
      <c r="B13" s="96"/>
      <c r="C13" s="99"/>
      <c r="D13" s="99"/>
      <c r="E13" s="99"/>
      <c r="F13" s="99"/>
      <c r="G13" s="98"/>
      <c r="H13" s="98"/>
    </row>
    <row r="14">
      <c r="A14" s="105" t="s">
        <v>220</v>
      </c>
      <c r="B14" s="106"/>
      <c r="C14" s="106"/>
      <c r="D14" s="106"/>
      <c r="E14" s="106"/>
      <c r="F14" s="106"/>
      <c r="G14" s="106"/>
      <c r="H14" s="106"/>
    </row>
    <row r="15">
      <c r="A15" s="107"/>
      <c r="B15" s="107"/>
      <c r="C15" s="107"/>
      <c r="D15" s="107"/>
      <c r="E15" s="107"/>
      <c r="F15" s="107"/>
      <c r="G15" s="107"/>
      <c r="H15" s="107"/>
    </row>
    <row r="16">
      <c r="A16" s="108" t="s">
        <v>221</v>
      </c>
      <c r="B16" s="109"/>
      <c r="C16" s="109"/>
      <c r="D16" s="109"/>
      <c r="E16" s="109"/>
      <c r="F16" s="109"/>
      <c r="G16" s="109"/>
      <c r="H16" s="109"/>
    </row>
    <row r="17">
      <c r="A17" s="110" t="s">
        <v>222</v>
      </c>
      <c r="B17" s="107"/>
      <c r="C17" s="107"/>
      <c r="D17" s="107"/>
      <c r="E17" s="107"/>
      <c r="F17" s="107"/>
      <c r="G17" s="107"/>
      <c r="H17" s="107"/>
    </row>
    <row r="18">
      <c r="A18" s="108" t="s">
        <v>223</v>
      </c>
      <c r="B18" s="109"/>
      <c r="C18" s="109"/>
      <c r="D18" s="109"/>
      <c r="E18" s="109"/>
      <c r="F18" s="109"/>
      <c r="G18" s="109"/>
      <c r="H18" s="109"/>
    </row>
    <row r="19">
      <c r="A19" s="107"/>
      <c r="B19" s="107"/>
      <c r="C19" s="107"/>
      <c r="D19" s="107"/>
      <c r="E19" s="107"/>
      <c r="F19" s="107"/>
      <c r="G19" s="107"/>
      <c r="H19" s="107"/>
    </row>
    <row r="20">
      <c r="A20" s="109"/>
      <c r="B20" s="109"/>
      <c r="C20" s="109"/>
      <c r="D20" s="109"/>
      <c r="E20" s="109"/>
      <c r="F20" s="109"/>
      <c r="G20" s="109"/>
      <c r="H20" s="10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